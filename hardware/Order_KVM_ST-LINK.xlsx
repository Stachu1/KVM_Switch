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BA.OJ\AppData\Local\Temp\claude\C--Users-SBA-OJ-Documents-KiCad-10-0-projects-KVM-Switch\9937a715-6848-4a47-ac70-29998d5dfa15\scratchpad\"/>
    </mc:Choice>
  </mc:AlternateContent>
  <xr:revisionPtr revIDLastSave="0" documentId="13_ncr:1_{9757B09C-400C-4D92-A22D-22F02CF0A06D}" xr6:coauthVersionLast="47" xr6:coauthVersionMax="47" xr10:uidLastSave="{00000000-0000-0000-0000-000000000000}"/>
  <bookViews>
    <workbookView xWindow="-28920" yWindow="1410" windowWidth="29040" windowHeight="15720" xr2:uid="{00000000-000D-0000-FFFF-FFFF00000000}"/>
  </bookViews>
  <sheets>
    <sheet name="Settings" sheetId="1" r:id="rId1"/>
    <sheet name="Scenarios" sheetId="2" r:id="rId2"/>
    <sheet name="DigiKey Order" sheetId="3" r:id="rId3"/>
    <sheet name="AX Parts" sheetId="4" r:id="rId4"/>
    <sheet name="Owned parts" sheetId="5" r:id="rId5"/>
  </sheets>
  <definedNames>
    <definedName name="_xlnm._FilterDatabase" localSheetId="2" hidden="1">'DigiKey Order'!$A$3:$S$23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5" l="1"/>
  <c r="J12" i="5" s="1"/>
  <c r="H11" i="5"/>
  <c r="J11" i="5" s="1"/>
  <c r="J10" i="5"/>
  <c r="H10" i="5"/>
  <c r="J9" i="5"/>
  <c r="H9" i="5"/>
  <c r="J8" i="5"/>
  <c r="H8" i="5"/>
  <c r="J7" i="5"/>
  <c r="H7" i="5"/>
  <c r="J6" i="5"/>
  <c r="H6" i="5"/>
  <c r="J5" i="5"/>
  <c r="H5" i="5"/>
  <c r="J4" i="5"/>
  <c r="H4" i="5"/>
  <c r="J14" i="4"/>
  <c r="H14" i="4"/>
  <c r="J13" i="4"/>
  <c r="H13" i="4"/>
  <c r="J12" i="4"/>
  <c r="H12" i="4"/>
  <c r="J11" i="4"/>
  <c r="H11" i="4"/>
  <c r="J10" i="4"/>
  <c r="H10" i="4"/>
  <c r="J9" i="4"/>
  <c r="H9" i="4"/>
  <c r="J8" i="4"/>
  <c r="H8" i="4"/>
  <c r="J7" i="4"/>
  <c r="H7" i="4"/>
  <c r="J6" i="4"/>
  <c r="H6" i="4"/>
  <c r="J5" i="4"/>
  <c r="H5" i="4"/>
  <c r="J4" i="4"/>
  <c r="H4" i="4"/>
  <c r="N23" i="3"/>
  <c r="S23" i="3" s="1"/>
  <c r="J23" i="3"/>
  <c r="J22" i="3"/>
  <c r="N22" i="3" s="1"/>
  <c r="J21" i="3"/>
  <c r="N21" i="3" s="1"/>
  <c r="J20" i="3"/>
  <c r="N20" i="3" s="1"/>
  <c r="N19" i="3"/>
  <c r="S19" i="3" s="1"/>
  <c r="J19" i="3"/>
  <c r="J18" i="3"/>
  <c r="N18" i="3" s="1"/>
  <c r="J17" i="3"/>
  <c r="N17" i="3" s="1"/>
  <c r="J16" i="3"/>
  <c r="N16" i="3" s="1"/>
  <c r="J15" i="3"/>
  <c r="N15" i="3" s="1"/>
  <c r="J14" i="3"/>
  <c r="N14" i="3" s="1"/>
  <c r="J13" i="3"/>
  <c r="N13" i="3" s="1"/>
  <c r="N12" i="3"/>
  <c r="S12" i="3" s="1"/>
  <c r="J12" i="3"/>
  <c r="N11" i="3"/>
  <c r="S11" i="3" s="1"/>
  <c r="J11" i="3"/>
  <c r="J10" i="3"/>
  <c r="N10" i="3" s="1"/>
  <c r="J9" i="3"/>
  <c r="N9" i="3" s="1"/>
  <c r="N8" i="3"/>
  <c r="S8" i="3" s="1"/>
  <c r="J8" i="3"/>
  <c r="O7" i="3"/>
  <c r="Q7" i="3" s="1"/>
  <c r="R7" i="3" s="1"/>
  <c r="N7" i="3"/>
  <c r="S7" i="3" s="1"/>
  <c r="J7" i="3"/>
  <c r="N6" i="3"/>
  <c r="S6" i="3" s="1"/>
  <c r="J6" i="3"/>
  <c r="J5" i="3"/>
  <c r="N5" i="3" s="1"/>
  <c r="O4" i="3"/>
  <c r="Q4" i="3" s="1"/>
  <c r="R4" i="3" s="1"/>
  <c r="N4" i="3"/>
  <c r="S4" i="3" s="1"/>
  <c r="J4" i="3"/>
  <c r="J26" i="2"/>
  <c r="I26" i="2"/>
  <c r="H26" i="2"/>
  <c r="G26" i="2"/>
  <c r="F26" i="2"/>
  <c r="E26" i="2"/>
  <c r="D26" i="2"/>
  <c r="C26" i="2"/>
  <c r="B26" i="2"/>
  <c r="A26" i="2"/>
  <c r="J25" i="2"/>
  <c r="I25" i="2"/>
  <c r="H25" i="2"/>
  <c r="G25" i="2"/>
  <c r="F25" i="2"/>
  <c r="E25" i="2"/>
  <c r="D25" i="2"/>
  <c r="C25" i="2"/>
  <c r="B25" i="2"/>
  <c r="A25" i="2"/>
  <c r="J24" i="2"/>
  <c r="I24" i="2"/>
  <c r="H24" i="2"/>
  <c r="G24" i="2"/>
  <c r="F24" i="2"/>
  <c r="E24" i="2"/>
  <c r="D24" i="2"/>
  <c r="C24" i="2"/>
  <c r="B24" i="2"/>
  <c r="A24" i="2"/>
  <c r="J23" i="2"/>
  <c r="I23" i="2"/>
  <c r="H23" i="2"/>
  <c r="G23" i="2"/>
  <c r="F23" i="2"/>
  <c r="E23" i="2"/>
  <c r="D23" i="2"/>
  <c r="C23" i="2"/>
  <c r="B23" i="2"/>
  <c r="A23" i="2"/>
  <c r="J22" i="2"/>
  <c r="I22" i="2"/>
  <c r="H22" i="2"/>
  <c r="G22" i="2"/>
  <c r="F22" i="2"/>
  <c r="E22" i="2"/>
  <c r="D22" i="2"/>
  <c r="C22" i="2"/>
  <c r="B22" i="2"/>
  <c r="A22" i="2"/>
  <c r="J21" i="2"/>
  <c r="I21" i="2"/>
  <c r="H21" i="2"/>
  <c r="G21" i="2"/>
  <c r="F21" i="2"/>
  <c r="E21" i="2"/>
  <c r="D21" i="2"/>
  <c r="C21" i="2"/>
  <c r="B21" i="2"/>
  <c r="A21" i="2"/>
  <c r="J20" i="2"/>
  <c r="I20" i="2"/>
  <c r="H20" i="2"/>
  <c r="G20" i="2"/>
  <c r="F20" i="2"/>
  <c r="E20" i="2"/>
  <c r="D20" i="2"/>
  <c r="C20" i="2"/>
  <c r="B20" i="2"/>
  <c r="A20" i="2"/>
  <c r="J19" i="2"/>
  <c r="I19" i="2"/>
  <c r="H19" i="2"/>
  <c r="G19" i="2"/>
  <c r="F19" i="2"/>
  <c r="E19" i="2"/>
  <c r="D19" i="2"/>
  <c r="C19" i="2"/>
  <c r="B19" i="2"/>
  <c r="A19" i="2"/>
  <c r="J18" i="2"/>
  <c r="I18" i="2"/>
  <c r="H18" i="2"/>
  <c r="G18" i="2"/>
  <c r="F18" i="2"/>
  <c r="E18" i="2"/>
  <c r="D18" i="2"/>
  <c r="C18" i="2"/>
  <c r="B18" i="2"/>
  <c r="A18" i="2"/>
  <c r="J17" i="2"/>
  <c r="I17" i="2"/>
  <c r="H17" i="2"/>
  <c r="G17" i="2"/>
  <c r="F17" i="2"/>
  <c r="E17" i="2"/>
  <c r="D17" i="2"/>
  <c r="C17" i="2"/>
  <c r="B17" i="2"/>
  <c r="A17" i="2"/>
  <c r="J16" i="2"/>
  <c r="I16" i="2"/>
  <c r="H16" i="2"/>
  <c r="G16" i="2"/>
  <c r="F16" i="2"/>
  <c r="E16" i="2"/>
  <c r="D16" i="2"/>
  <c r="C16" i="2"/>
  <c r="B16" i="2"/>
  <c r="A16" i="2"/>
  <c r="J15" i="2"/>
  <c r="I15" i="2"/>
  <c r="H15" i="2"/>
  <c r="G15" i="2"/>
  <c r="F15" i="2"/>
  <c r="E15" i="2"/>
  <c r="D15" i="2"/>
  <c r="C15" i="2"/>
  <c r="B15" i="2"/>
  <c r="A15" i="2"/>
  <c r="J14" i="2"/>
  <c r="I14" i="2"/>
  <c r="H14" i="2"/>
  <c r="G14" i="2"/>
  <c r="F14" i="2"/>
  <c r="E14" i="2"/>
  <c r="D14" i="2"/>
  <c r="C14" i="2"/>
  <c r="B14" i="2"/>
  <c r="A14" i="2"/>
  <c r="J13" i="2"/>
  <c r="I13" i="2"/>
  <c r="H13" i="2"/>
  <c r="G13" i="2"/>
  <c r="F13" i="2"/>
  <c r="E13" i="2"/>
  <c r="D13" i="2"/>
  <c r="C13" i="2"/>
  <c r="B13" i="2"/>
  <c r="A13" i="2"/>
  <c r="J12" i="2"/>
  <c r="I12" i="2"/>
  <c r="H12" i="2"/>
  <c r="G12" i="2"/>
  <c r="F12" i="2"/>
  <c r="E12" i="2"/>
  <c r="D12" i="2"/>
  <c r="C12" i="2"/>
  <c r="B12" i="2"/>
  <c r="A12" i="2"/>
  <c r="J11" i="2"/>
  <c r="I11" i="2"/>
  <c r="H11" i="2"/>
  <c r="G11" i="2"/>
  <c r="F11" i="2"/>
  <c r="E11" i="2"/>
  <c r="D11" i="2"/>
  <c r="C11" i="2"/>
  <c r="B11" i="2"/>
  <c r="A11" i="2"/>
  <c r="J10" i="2"/>
  <c r="I10" i="2"/>
  <c r="H10" i="2"/>
  <c r="G10" i="2"/>
  <c r="F10" i="2"/>
  <c r="E10" i="2"/>
  <c r="D10" i="2"/>
  <c r="C10" i="2"/>
  <c r="B10" i="2"/>
  <c r="A10" i="2"/>
  <c r="J9" i="2"/>
  <c r="I9" i="2"/>
  <c r="H9" i="2"/>
  <c r="G9" i="2"/>
  <c r="F9" i="2"/>
  <c r="E9" i="2"/>
  <c r="D9" i="2"/>
  <c r="C9" i="2"/>
  <c r="B9" i="2"/>
  <c r="A9" i="2"/>
  <c r="J8" i="2"/>
  <c r="I8" i="2"/>
  <c r="H8" i="2"/>
  <c r="G8" i="2"/>
  <c r="F8" i="2"/>
  <c r="E8" i="2"/>
  <c r="D8" i="2"/>
  <c r="C8" i="2"/>
  <c r="B8" i="2"/>
  <c r="A8" i="2"/>
  <c r="J7" i="2"/>
  <c r="I7" i="2"/>
  <c r="I28" i="2" s="1"/>
  <c r="H7" i="2"/>
  <c r="H28" i="2" s="1"/>
  <c r="G7" i="2"/>
  <c r="F7" i="2"/>
  <c r="E7" i="2"/>
  <c r="D7" i="2"/>
  <c r="C7" i="2"/>
  <c r="B7" i="2"/>
  <c r="A7" i="2"/>
  <c r="B19" i="1"/>
  <c r="S14" i="3" l="1"/>
  <c r="O14" i="3"/>
  <c r="Q14" i="3" s="1"/>
  <c r="R14" i="3" s="1"/>
  <c r="S22" i="3"/>
  <c r="O22" i="3"/>
  <c r="Q22" i="3" s="1"/>
  <c r="R22" i="3" s="1"/>
  <c r="F28" i="2"/>
  <c r="O12" i="3"/>
  <c r="Q12" i="3" s="1"/>
  <c r="R12" i="3" s="1"/>
  <c r="O6" i="3"/>
  <c r="Q6" i="3" s="1"/>
  <c r="R6" i="3" s="1"/>
  <c r="O23" i="3"/>
  <c r="Q23" i="3" s="1"/>
  <c r="D28" i="2"/>
  <c r="D29" i="2" s="1"/>
  <c r="E28" i="2"/>
  <c r="O8" i="3"/>
  <c r="Q8" i="3" s="1"/>
  <c r="R8" i="3" s="1"/>
  <c r="C28" i="2"/>
  <c r="C29" i="2" s="1"/>
  <c r="J28" i="2"/>
  <c r="G28" i="2"/>
  <c r="G29" i="2" s="1"/>
  <c r="S20" i="3"/>
  <c r="O20" i="3"/>
  <c r="Q20" i="3" s="1"/>
  <c r="R20" i="3" s="1"/>
  <c r="O5" i="3"/>
  <c r="Q5" i="3" s="1"/>
  <c r="R5" i="3" s="1"/>
  <c r="S5" i="3"/>
  <c r="S9" i="3"/>
  <c r="O9" i="3"/>
  <c r="Q9" i="3" s="1"/>
  <c r="R9" i="3" s="1"/>
  <c r="S10" i="3"/>
  <c r="O10" i="3"/>
  <c r="Q10" i="3" s="1"/>
  <c r="R10" i="3" s="1"/>
  <c r="S21" i="3"/>
  <c r="O21" i="3"/>
  <c r="Q21" i="3" s="1"/>
  <c r="R21" i="3" s="1"/>
  <c r="O13" i="3"/>
  <c r="Q13" i="3" s="1"/>
  <c r="R13" i="3" s="1"/>
  <c r="S13" i="3"/>
  <c r="H29" i="2"/>
  <c r="J29" i="2"/>
  <c r="F29" i="2"/>
  <c r="S15" i="3"/>
  <c r="O15" i="3"/>
  <c r="Q15" i="3" s="1"/>
  <c r="R15" i="3" s="1"/>
  <c r="S17" i="3"/>
  <c r="O17" i="3"/>
  <c r="Q17" i="3" s="1"/>
  <c r="R17" i="3" s="1"/>
  <c r="I29" i="2"/>
  <c r="S18" i="3"/>
  <c r="O18" i="3"/>
  <c r="Q18" i="3" s="1"/>
  <c r="R18" i="3" s="1"/>
  <c r="S16" i="3"/>
  <c r="O16" i="3"/>
  <c r="Q16" i="3" s="1"/>
  <c r="R16" i="3" s="1"/>
  <c r="E29" i="2"/>
  <c r="R23" i="3"/>
  <c r="O11" i="3"/>
  <c r="Q11" i="3" s="1"/>
  <c r="R11" i="3" s="1"/>
  <c r="O19" i="3"/>
  <c r="Q19" i="3" s="1"/>
  <c r="R19" i="3" s="1"/>
  <c r="R25" i="3" l="1"/>
  <c r="B13" i="1" s="1"/>
  <c r="G32" i="2"/>
  <c r="G30" i="2"/>
  <c r="G31" i="2" s="1"/>
  <c r="E32" i="2"/>
  <c r="E30" i="2"/>
  <c r="E31" i="2" s="1"/>
  <c r="F30" i="2"/>
  <c r="F31" i="2" s="1"/>
  <c r="F32" i="2"/>
  <c r="H32" i="2"/>
  <c r="H30" i="2"/>
  <c r="H31" i="2" s="1"/>
  <c r="J32" i="2"/>
  <c r="J30" i="2"/>
  <c r="J31" i="2" s="1"/>
  <c r="C32" i="2"/>
  <c r="C30" i="2"/>
  <c r="C31" i="2" s="1"/>
  <c r="D32" i="2"/>
  <c r="D30" i="2"/>
  <c r="D31" i="2" s="1"/>
  <c r="I32" i="2"/>
  <c r="I30" i="2"/>
  <c r="I31" i="2" s="1"/>
  <c r="D34" i="2" l="1"/>
  <c r="D33" i="2"/>
  <c r="H34" i="2"/>
  <c r="H33" i="2"/>
  <c r="I33" i="2"/>
  <c r="I34" i="2"/>
  <c r="J34" i="2"/>
  <c r="J33" i="2"/>
  <c r="F34" i="2"/>
  <c r="F33" i="2"/>
  <c r="C34" i="2"/>
  <c r="C33" i="2"/>
  <c r="E34" i="2"/>
  <c r="E33" i="2"/>
  <c r="G34" i="2"/>
  <c r="G33" i="2"/>
  <c r="B14" i="1"/>
  <c r="B17" i="1" l="1"/>
  <c r="B18" i="1" s="1"/>
  <c r="B15" i="1"/>
  <c r="B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BOM</author>
  </authors>
  <commentList>
    <comment ref="O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LOOKUP picks the highest break qty &lt;= Order qty from the break table on the right.</t>
        </r>
      </text>
    </comment>
    <comment ref="A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Already owned - Order?=N. Listed on the 'Owned parts' sheet.</t>
        </r>
      </text>
    </comment>
    <comment ref="M5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+6 spare(s): Need 4 - 10 pcs are cheaper than 4 (price break at 10).</t>
        </r>
      </text>
    </comment>
    <comment ref="A6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Already owned - Order?=N. Listed on the 'Owned parts' sheet.</t>
        </r>
      </text>
    </comment>
    <comment ref="A7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Already owned - Order?=N. Listed on the 'Owned parts' sheet.</t>
        </r>
      </text>
    </comment>
    <comment ref="A8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Already owned - Order?=N. Listed on the 'Owned parts' sheet.</t>
        </r>
      </text>
    </comment>
    <comment ref="K10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You own 7 pcs - only the rest is ordered. Listed on 'Owned parts'.</t>
        </r>
      </text>
    </comment>
    <comment ref="M10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+2 spare(s): Need 8, own 7 - 2 extra so you keep 2 spares after the build.</t>
        </r>
      </text>
    </comment>
    <comment ref="A12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Already owned - Order?=N. Listed on the 'Owned parts' sheet.</t>
        </r>
      </text>
    </comment>
    <comment ref="M13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+2 spare(s): Need 18 - tiny USON-10 TVS, easy to bridge/lose; 2 spares.</t>
        </r>
      </text>
    </comment>
    <comment ref="A15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Owned HT7333 (SOT-23-3) is NOT a substitute: footprint is SOT-23-5 (IN,GND,EN,NC,OUT), the 3-pin part won't land on the pads.</t>
        </r>
      </text>
    </comment>
    <comment ref="M15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+6 spare(s): Need 4 - 10 pcs only ~10 kr more (break at 10); spare LDOs for future boards.</t>
        </r>
      </text>
    </comment>
    <comment ref="M16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+1 spare(s): Need 2 - QFN-28 MCU; 1 spare.</t>
        </r>
      </text>
    </comment>
    <comment ref="A18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Replaces 5399-USBLC6-2SC6CT-ND (KVM, out of stock) and 4518-USBLC6-2SC6CT-ND (ST-LINK).</t>
        </r>
      </text>
    </comment>
    <comment ref="K18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You own 17 pcs - only the rest is ordered. Listed on 'Owned parts'.</t>
        </r>
      </text>
    </comment>
    <comment ref="A19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Replaces 296-27719-1-ND (TS3USB221AQRSERQ1, out of stock). Pin-for-pin same RSE package.</t>
        </r>
      </text>
    </comment>
    <comment ref="M19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+2 spare(s): Need 2 - 1.5x2 mm UQFN, the hardest part to hand-solder; 2 spares.</t>
        </r>
      </text>
    </comment>
    <comment ref="A23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R3,R4 DDC pull-ups, probably not needed - Order?=N. Set Y if you want them populated.</t>
        </r>
      </text>
    </comment>
  </commentList>
</comments>
</file>

<file path=xl/sharedStrings.xml><?xml version="1.0" encoding="utf-8"?>
<sst xmlns="http://schemas.openxmlformats.org/spreadsheetml/2006/main" count="364" uniqueCount="284">
  <si>
    <t>KVM Switch + ST-LINK - combined DigiKey order</t>
  </si>
  <si>
    <t>Prices: digikey.dk cut tape, fetched 2026-10-09 (listed excl. VAT, VAT added here). Quantities: KiCad BOM export of both schematics (DNP / test points excluded).</t>
  </si>
  <si>
    <t>Input</t>
  </si>
  <si>
    <t>Value</t>
  </si>
  <si>
    <t>Note</t>
  </si>
  <si>
    <t>KVM Switch boards to build</t>
  </si>
  <si>
    <t>Drives the DigiKey Order sheet. Compare options on the Scenarios sheet.</t>
  </si>
  <si>
    <t>ST-LINK boards to build</t>
  </si>
  <si>
    <t>Panel has 10 positions - populate as many as you like.</t>
  </si>
  <si>
    <t>VAT rate</t>
  </si>
  <si>
    <t>Danish VAT. Ordering privately, so all totals are shown incl. VAT.</t>
  </si>
  <si>
    <t>Delivery charge</t>
  </si>
  <si>
    <t>digikey.dk: 'A delivery charge of kr. 185 will be billed on all orders less than kr. 550.'</t>
  </si>
  <si>
    <t>Free delivery from</t>
  </si>
  <si>
    <t>digikey.dk: 'Free delivery to Denmark on orders of kr. 550 or more.'</t>
  </si>
  <si>
    <t>DigiKey's 185 / 550 kr are</t>
  </si>
  <si>
    <t>excl. VAT</t>
  </si>
  <si>
    <t>DigiKey doesn't say. 'excl. VAT' is the safe assumption (= 687.50 kr incl. VAT); the checkout cart will confirm.</t>
  </si>
  <si>
    <t>Order summary (board counts above, incl. VAT)</t>
  </si>
  <si>
    <t>Parts incl. VAT</t>
  </si>
  <si>
    <t>Order value as DigiKey measures it</t>
  </si>
  <si>
    <t>excl. or incl. VAT per B10 - this is what is compared with the 550 kr</t>
  </si>
  <si>
    <t>Delivery incl. VAT</t>
  </si>
  <si>
    <t>TOTAL TO PAY incl. VAT</t>
  </si>
  <si>
    <t>Missing to free delivery (incl. VAT)</t>
  </si>
  <si>
    <t>Advice</t>
  </si>
  <si>
    <t>Lines with 0 / low stock</t>
  </si>
  <si>
    <t>Check 'Stock @ fetch' on the DigiKey Order sheet</t>
  </si>
  <si>
    <t>How to use</t>
  </si>
  <si>
    <t>- Yellow cells with blue text are inputs - everything else is calculated.</t>
  </si>
  <si>
    <t>- Scenarios sheet: totals for every KVM / ST-LINK combination (board counts in its header are editable).</t>
  </si>
  <si>
    <t>- Pick a combination, enter it in B5/B6 - the DigiKey Order sheet then shows exactly what to put in the cart.</t>
  </si>
  <si>
    <t>- DigiKey Order: 'Owned' is subtracted from Needed, 'Order?' Y/N, 'Extra' adds spares (use it to top up to free delivery), 'Price override' replaces the looked-up price.</t>
  </si>
  <si>
    <t>- 'Next break' shows the qty at the next price break and the line cost there - sometimes buying more is cheaper.</t>
  </si>
  <si>
    <t>- AX Parts / Owned parts: what to pull from stock. Enter 'On hand' to see shortages.</t>
  </si>
  <si>
    <t>Design notes</t>
  </si>
  <si>
    <t>- Drop-in replacements chosen for parts out of stock at DigiKey on 2026-10-09 (schematic DigiKey fields still show the old PNs):</t>
  </si>
  <si>
    <t>-   U14 TS3USB221AQRSERQ1 (296-27719-1-ND, 0 stock) -&gt; TS3USB221ERSER (296-25222-1-ND): same RSE 10-UQFN, pinout, S/OE truth table, VCC 2.3-3.6V; ESD-enhanced, not automotive.</t>
  </si>
  <si>
    <t>-   C25 100u: old PN was a 1210 part on a C_1206 footprint and 0 stock -&gt; GRM31CR61A107MEA8L, 100u 10V X5R 1206 (fits the footprint). C25 is on VBUS (5V).</t>
  </si>
  <si>
    <t>-   5.1k 0603 RC0603FR-075K1L (0 stock) -&gt; Stackpole RMCF0603FT5K10, same value/size/tolerance.</t>
  </si>
  <si>
    <t>-   USBLC6-2SC6: both old PNs (Slkormicro 0 stock, UMW) -&gt; genuine ST USBLC6-2SC6 (497-5235-1-ND) for both boards.</t>
  </si>
  <si>
    <t>- R3,R4 (47k, HDMI_OUT DDC SCL/SDA pull-ups to VBUS): likely not needed (sink/source pulls DDC up) - Order?=N, leave unpopulated.</t>
  </si>
  <si>
    <t>- Owned HT7333 (SOT-23-3L) can't replace TLV75533 (U11 / ST-LINK U2): footprint is SOT-23-5, no pad for the 3rd pin. Keep ordering TLV75533.</t>
  </si>
  <si>
    <t>- STM32F103C8T6TR: only 14 in stock at fetch time - check before ordering.</t>
  </si>
  <si>
    <t>- ST-LINK J2: 732-5317-ND is a vertical THT header (61300411121), footprint is 'conn_01x04_P2.54_right_smd' - confirm.</t>
  </si>
  <si>
    <t>What does each build option cost? (DKK incl. VAT, delivery rules from Settings)</t>
  </si>
  <si>
    <t>Uses Order?, Extra and Price override from the DigiKey Order sheet; only the board counts change. Edit the yellow board counts to try other combinations.</t>
  </si>
  <si>
    <t>KVM boards</t>
  </si>
  <si>
    <t>ST-LINK boards</t>
  </si>
  <si>
    <t>DigiKey PN</t>
  </si>
  <si>
    <t>Description</t>
  </si>
  <si>
    <t>Line incl. VAT</t>
  </si>
  <si>
    <t>Top up or pay delivery?</t>
  </si>
  <si>
    <t>Total if topped up to free delivery</t>
  </si>
  <si>
    <t>- 'Top up' = the amount missing to free delivery is less than the delivery charge, so extra parts (spares / Extra column) cost less than shipping.</t>
  </si>
  <si>
    <t>- Break-even: with 550/185 excl. VAT, topping up pays off once parts exceed 365 kr excl. VAT (456.25 kr incl. VAT).</t>
  </si>
  <si>
    <t>- 'Total if topped up' = what you pay if you add parts up to exactly the free-delivery threshold.</t>
  </si>
  <si>
    <t>DigiKey order - KVM Switch + ST-LINK (board counts from Settings)</t>
  </si>
  <si>
    <t>DigiKey price breaks (DKK excl. VAT, as listed on digikey.dk) - edit if prices change</t>
  </si>
  <si>
    <t>Manufacturer</t>
  </si>
  <si>
    <t>MPN</t>
  </si>
  <si>
    <t>KVM refs</t>
  </si>
  <si>
    <t>KVM qty/board</t>
  </si>
  <si>
    <t>ST-LINK refs</t>
  </si>
  <si>
    <t>ST-LINK qty/board</t>
  </si>
  <si>
    <t>Stock @ fetch</t>
  </si>
  <si>
    <t>Needed</t>
  </si>
  <si>
    <t>Owned</t>
  </si>
  <si>
    <t>Order?</t>
  </si>
  <si>
    <t>Extra</t>
  </si>
  <si>
    <t>Order qty</t>
  </si>
  <si>
    <t>Unit price excl. VAT (auto)</t>
  </si>
  <si>
    <t>Price override (excl. VAT)</t>
  </si>
  <si>
    <t>Unit price incl. VAT</t>
  </si>
  <si>
    <t>Line total incl. VAT</t>
  </si>
  <si>
    <t>Next break: qty / line incl. VAT</t>
  </si>
  <si>
    <t>Break qty 1</t>
  </si>
  <si>
    <t>Break qty 2</t>
  </si>
  <si>
    <t>Break qty 3</t>
  </si>
  <si>
    <t>Break qty 4</t>
  </si>
  <si>
    <t>Break qty 5</t>
  </si>
  <si>
    <t>Break qty 6</t>
  </si>
  <si>
    <t>Break qty 7</t>
  </si>
  <si>
    <t>Break qty 8</t>
  </si>
  <si>
    <t>Price 1 excl. VAT</t>
  </si>
  <si>
    <t>Price 2 excl. VAT</t>
  </si>
  <si>
    <t>Price 3 excl. VAT</t>
  </si>
  <si>
    <t>Price 4 excl. VAT</t>
  </si>
  <si>
    <t>Price 5 excl. VAT</t>
  </si>
  <si>
    <t>Price 6 excl. VAT</t>
  </si>
  <si>
    <t>Price 7 excl. VAT</t>
  </si>
  <si>
    <t>Price 8 excl. VAT</t>
  </si>
  <si>
    <t>490-GRM31CR61A107MEA8LCT-ND</t>
  </si>
  <si>
    <t>Murata</t>
  </si>
  <si>
    <t>GRM31CR61A107MEA8L</t>
  </si>
  <si>
    <t>CAP CER 100UF 10V X5R 1206</t>
  </si>
  <si>
    <t>C25</t>
  </si>
  <si>
    <t>478,277</t>
  </si>
  <si>
    <t>N</t>
  </si>
  <si>
    <t>490-5869-1-ND</t>
  </si>
  <si>
    <t>GRM1555C1H270JA01D</t>
  </si>
  <si>
    <t>CAP CER 27PF 50V C0G 0402</t>
  </si>
  <si>
    <t>C1,C2</t>
  </si>
  <si>
    <t>4,482,233</t>
  </si>
  <si>
    <t>Y</t>
  </si>
  <si>
    <t>RMCF0603FT5K10CT-ND</t>
  </si>
  <si>
    <t>Stackpole</t>
  </si>
  <si>
    <t>RMCF0603FT5K10</t>
  </si>
  <si>
    <t>RES 5.1K OHM 1% 1/10W 0603</t>
  </si>
  <si>
    <t>R10,R12,R17,R18,R22,R23</t>
  </si>
  <si>
    <t>R3,R4</t>
  </si>
  <si>
    <t>145,188</t>
  </si>
  <si>
    <t>475-LGQ976.01-MGNI-35-1CT-ND</t>
  </si>
  <si>
    <t>ams OSRAM</t>
  </si>
  <si>
    <t>LG Q976.01-MGNI-35-1</t>
  </si>
  <si>
    <t>LED GREEN CLEAR 0603 SMD</t>
  </si>
  <si>
    <t>D1</t>
  </si>
  <si>
    <t>1,110</t>
  </si>
  <si>
    <t>475-LOQ976.01-P2R2-25-1-20-R18CT-ND</t>
  </si>
  <si>
    <t>LO Q976.01-P2R2-25-1-20-R18</t>
  </si>
  <si>
    <t>LED ORANGE CLEAR 0603 SMD</t>
  </si>
  <si>
    <t>D2</t>
  </si>
  <si>
    <t>126,647</t>
  </si>
  <si>
    <t>900-2086581001CT-ND</t>
  </si>
  <si>
    <t>Molex</t>
  </si>
  <si>
    <t>2086581001</t>
  </si>
  <si>
    <t>CONN RCPT HDMI V2.1 19POS SMD RA</t>
  </si>
  <si>
    <t>J1,J2,J3</t>
  </si>
  <si>
    <t>22,147</t>
  </si>
  <si>
    <t>2073-USB4105-GF-ACT-ND</t>
  </si>
  <si>
    <t>GCT</t>
  </si>
  <si>
    <t>USB4105-GF-A</t>
  </si>
  <si>
    <t>CONN RCP USB2.0 TYPE-C 16P SMD RA</t>
  </si>
  <si>
    <t>J4,J5,J6</t>
  </si>
  <si>
    <t>J1</t>
  </si>
  <si>
    <t>103,534</t>
  </si>
  <si>
    <t>732-2107-ND</t>
  </si>
  <si>
    <t>Wurth Elektronik</t>
  </si>
  <si>
    <t>61400826021</t>
  </si>
  <si>
    <t>CONN RCPT USB2.0 TYPE-A STACKED R/A</t>
  </si>
  <si>
    <t>J7,J8</t>
  </si>
  <si>
    <t>15,423</t>
  </si>
  <si>
    <t>732-5317-ND</t>
  </si>
  <si>
    <t>61300411121</t>
  </si>
  <si>
    <t>CONN HEADER VERT 4POS 2.54MM</t>
  </si>
  <si>
    <t>J2</t>
  </si>
  <si>
    <t>132,393</t>
  </si>
  <si>
    <t>296-43875-1-ND</t>
  </si>
  <si>
    <t>Texas Instruments</t>
  </si>
  <si>
    <t>TPD4E02B04DQAR</t>
  </si>
  <si>
    <t>TVS DIODE 3.6VWM 8.8VC 10USON</t>
  </si>
  <si>
    <t>U1-U9</t>
  </si>
  <si>
    <t>1,336</t>
  </si>
  <si>
    <t>296-42335-1-ND</t>
  </si>
  <si>
    <t>HD3SS215RTQR</t>
  </si>
  <si>
    <t>IC DISPLAYPORT 2:1 DIFF SW 56QFN</t>
  </si>
  <si>
    <t>U10</t>
  </si>
  <si>
    <t>2,402</t>
  </si>
  <si>
    <t>296-50411-1-ND</t>
  </si>
  <si>
    <t>TLV75533PDBVR</t>
  </si>
  <si>
    <t>IC REG LINEAR 3.3V 500MA SOT23-5</t>
  </si>
  <si>
    <t>U11</t>
  </si>
  <si>
    <t>U2</t>
  </si>
  <si>
    <t>in stock</t>
  </si>
  <si>
    <t>497-STM32C031G6U6-ND</t>
  </si>
  <si>
    <t>STMicroelectronics</t>
  </si>
  <si>
    <t>STM32C031G6U6</t>
  </si>
  <si>
    <t>IC MCU 32BIT 32KB FLASH 28UFQFPN</t>
  </si>
  <si>
    <t>U12</t>
  </si>
  <si>
    <t>3,703</t>
  </si>
  <si>
    <t>497-17666-1-ND</t>
  </si>
  <si>
    <t>STM32F103C8T6TR</t>
  </si>
  <si>
    <t>IC MCU 32BIT 64KB FLASH 48LQFP</t>
  </si>
  <si>
    <t>U3</t>
  </si>
  <si>
    <t>14</t>
  </si>
  <si>
    <t>497-5235-1-ND</t>
  </si>
  <si>
    <t>USBLC6-2SC6</t>
  </si>
  <si>
    <t>TVS DIODE 5V SOT23-6 (USB ESD)</t>
  </si>
  <si>
    <t>U13,U15,U17-U20</t>
  </si>
  <si>
    <t>U1</t>
  </si>
  <si>
    <t>132,634</t>
  </si>
  <si>
    <t>296-25222-1-ND</t>
  </si>
  <si>
    <t>TS3USB221ERSER</t>
  </si>
  <si>
    <t>IC USB SWITCH DUAL 1X2 10UQFN</t>
  </si>
  <si>
    <t>U14</t>
  </si>
  <si>
    <t>21,915</t>
  </si>
  <si>
    <t>USB2514BT/M2CT-ND</t>
  </si>
  <si>
    <t>Microchip</t>
  </si>
  <si>
    <t>USB2514BT/M2</t>
  </si>
  <si>
    <t>IC HUB CTLR 4PORT USB 2.0 HS 36SQFN</t>
  </si>
  <si>
    <t>U16</t>
  </si>
  <si>
    <t>19,915</t>
  </si>
  <si>
    <t>SER3634CT-ND</t>
  </si>
  <si>
    <t>EPSON</t>
  </si>
  <si>
    <t>TSX-3225 24.0000MF20G-AC3</t>
  </si>
  <si>
    <t>CRYSTAL 24.0000MHZ 9PF SMD</t>
  </si>
  <si>
    <t>X1</t>
  </si>
  <si>
    <t>100,414</t>
  </si>
  <si>
    <t>50-ECS-80-18-33-JGN-CT-ND</t>
  </si>
  <si>
    <t>ECS Inc.</t>
  </si>
  <si>
    <t>ECS-80-18-33-JGN-TR</t>
  </si>
  <si>
    <t>CRYSTAL 8.0000MHZ 18PF SMD</t>
  </si>
  <si>
    <t>35,744</t>
  </si>
  <si>
    <t>311-47.0KLRCT-ND</t>
  </si>
  <si>
    <t>YAGEO</t>
  </si>
  <si>
    <t>RC0402FR-0747KL</t>
  </si>
  <si>
    <t>RES 47K OHM 1% 1/16W 0402</t>
  </si>
  <si>
    <t>1,680,645</t>
  </si>
  <si>
    <t>Parts total incl. VAT</t>
  </si>
  <si>
    <t>AX parts - not ordered, pull from stock</t>
  </si>
  <si>
    <t>AX #</t>
  </si>
  <si>
    <t>Package</t>
  </si>
  <si>
    <t>Total needed</t>
  </si>
  <si>
    <t>On hand</t>
  </si>
  <si>
    <t>Short</t>
  </si>
  <si>
    <t>27730</t>
  </si>
  <si>
    <t>1u</t>
  </si>
  <si>
    <t>C 0402</t>
  </si>
  <si>
    <t>C1-C18,C21-C24,C28-C31</t>
  </si>
  <si>
    <t>C4,C6-C10</t>
  </si>
  <si>
    <t>27705</t>
  </si>
  <si>
    <t>10p</t>
  </si>
  <si>
    <t>C19,C20</t>
  </si>
  <si>
    <t>27726</t>
  </si>
  <si>
    <t>100n</t>
  </si>
  <si>
    <t>C26,C27</t>
  </si>
  <si>
    <t>27204</t>
  </si>
  <si>
    <t>10u</t>
  </si>
  <si>
    <t>C 0603</t>
  </si>
  <si>
    <t>C3,C5</t>
  </si>
  <si>
    <t>201002</t>
  </si>
  <si>
    <t>10k</t>
  </si>
  <si>
    <t>R 0402</t>
  </si>
  <si>
    <t>R1,R2,R6-R8,R13-R16,R19-R21,R24,R25</t>
  </si>
  <si>
    <t>R1,R2,R5-R9</t>
  </si>
  <si>
    <t>201003</t>
  </si>
  <si>
    <t>100k</t>
  </si>
  <si>
    <t>R5,R9,R27-R30</t>
  </si>
  <si>
    <t>204700</t>
  </si>
  <si>
    <t>470</t>
  </si>
  <si>
    <t>R11</t>
  </si>
  <si>
    <t>R10,R13</t>
  </si>
  <si>
    <t>202209</t>
  </si>
  <si>
    <t>22</t>
  </si>
  <si>
    <t>R11,R12,R15-R17</t>
  </si>
  <si>
    <t>201000</t>
  </si>
  <si>
    <t>100</t>
  </si>
  <si>
    <t>R14</t>
  </si>
  <si>
    <t>201001</t>
  </si>
  <si>
    <t>1k</t>
  </si>
  <si>
    <t>R18</t>
  </si>
  <si>
    <t>141202</t>
  </si>
  <si>
    <t>12k</t>
  </si>
  <si>
    <t>R 0603</t>
  </si>
  <si>
    <t>R26</t>
  </si>
  <si>
    <t>Total needed uses the board counts on the Settings sheet.</t>
  </si>
  <si>
    <t>Already owned - not ordered</t>
  </si>
  <si>
    <t>Part #</t>
  </si>
  <si>
    <t>LCSC C5149201</t>
  </si>
  <si>
    <t>SK6812MINI-E</t>
  </si>
  <si>
    <t>3.2x2.8 reverse-mount</t>
  </si>
  <si>
    <t>D2-D6</t>
  </si>
  <si>
    <t>LCSC C780491</t>
  </si>
  <si>
    <t>SPST-NO</t>
  </si>
  <si>
    <t>UK-B0206-G5-250-JZ</t>
  </si>
  <si>
    <t>SW1</t>
  </si>
  <si>
    <t>5.1k</t>
  </si>
  <si>
    <t>100u 10V</t>
  </si>
  <si>
    <t>C 1206</t>
  </si>
  <si>
    <t>LG Q976.01 (green)</t>
  </si>
  <si>
    <t>GLED</t>
  </si>
  <si>
    <t>LED 0603</t>
  </si>
  <si>
    <t>LO Q976.01 (orange)</t>
  </si>
  <si>
    <t>OLED</t>
  </si>
  <si>
    <t>Pin header 1x4</t>
  </si>
  <si>
    <t>2.54mm</t>
  </si>
  <si>
    <t>USB4105-GF-A (own 7)</t>
  </si>
  <si>
    <t>USB-C 16P</t>
  </si>
  <si>
    <t>SMD RA</t>
  </si>
  <si>
    <t>J4-J6</t>
  </si>
  <si>
    <t>USBLC6-2SC6 (own 17)</t>
  </si>
  <si>
    <t>USB ESD</t>
  </si>
  <si>
    <t>SOT-23-6</t>
  </si>
  <si>
    <t>Partly owned lines (USB-C, USBLC6): the DigiKey Order sheet orders only Needed minus Owned.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</si>
</sst>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kr&quot;;\-#,##0.00\ &quot;kr&quot;;&quot;-&quot;"/>
    <numFmt numFmtId="165" formatCode="0.00000\ &quot;kr&quot;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595959"/>
      <name val="Arial"/>
    </font>
    <font>
      <b/>
      <sz val="13"/>
      <name val="Arial"/>
    </font>
    <font>
      <b/>
      <sz val="10"/>
      <name val="Arial"/>
    </font>
    <font>
      <b/>
      <sz val="12"/>
      <name val="Arial"/>
    </font>
    <font>
      <sz val="10"/>
      <color rgb="FF008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3" borderId="0" xfId="0" applyFont="1" applyFill="1"/>
    <xf numFmtId="0" fontId="6" fillId="0" borderId="0" xfId="0" applyFont="1"/>
    <xf numFmtId="9" fontId="5" fillId="3" borderId="0" xfId="0" applyNumberFormat="1" applyFont="1" applyFill="1"/>
    <xf numFmtId="164" fontId="5" fillId="3" borderId="0" xfId="0" applyNumberFormat="1" applyFont="1" applyFill="1"/>
    <xf numFmtId="0" fontId="9" fillId="0" borderId="0" xfId="0" applyFont="1"/>
    <xf numFmtId="164" fontId="8" fillId="0" borderId="0" xfId="0" applyNumberFormat="1" applyFont="1"/>
    <xf numFmtId="0" fontId="8" fillId="0" borderId="0" xfId="0" applyFont="1"/>
    <xf numFmtId="164" fontId="8" fillId="5" borderId="0" xfId="0" applyNumberFormat="1" applyFont="1" applyFill="1"/>
    <xf numFmtId="49" fontId="8" fillId="0" borderId="0" xfId="0" applyNumberFormat="1" applyFont="1"/>
    <xf numFmtId="1" fontId="8" fillId="0" borderId="0" xfId="0" applyNumberFormat="1" applyFont="1"/>
    <xf numFmtId="0" fontId="4" fillId="4" borderId="0" xfId="0" applyFont="1" applyFill="1"/>
    <xf numFmtId="0" fontId="7" fillId="0" borderId="0" xfId="0" applyFont="1"/>
    <xf numFmtId="0" fontId="5" fillId="3" borderId="0" xfId="0" applyFont="1" applyFill="1" applyAlignment="1">
      <alignment horizontal="center"/>
    </xf>
    <xf numFmtId="0" fontId="10" fillId="0" borderId="0" xfId="0" applyFont="1"/>
    <xf numFmtId="164" fontId="4" fillId="0" borderId="1" xfId="0" applyNumberFormat="1" applyFont="1" applyBorder="1"/>
    <xf numFmtId="164" fontId="8" fillId="5" borderId="1" xfId="0" applyNumberFormat="1" applyFont="1" applyFill="1" applyBorder="1"/>
    <xf numFmtId="49" fontId="4" fillId="0" borderId="1" xfId="0" applyNumberFormat="1" applyFont="1" applyBorder="1" applyAlignment="1">
      <alignment horizontal="center"/>
    </xf>
    <xf numFmtId="164" fontId="8" fillId="0" borderId="1" xfId="0" applyNumberFormat="1" applyFont="1" applyBorder="1"/>
    <xf numFmtId="0" fontId="4" fillId="6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5" fontId="4" fillId="0" borderId="1" xfId="0" applyNumberFormat="1" applyFont="1" applyBorder="1"/>
    <xf numFmtId="165" fontId="5" fillId="3" borderId="1" xfId="0" applyNumberFormat="1" applyFont="1" applyFill="1" applyBorder="1"/>
    <xf numFmtId="0" fontId="5" fillId="0" borderId="1" xfId="0" applyFont="1" applyBorder="1"/>
    <xf numFmtId="0" fontId="0" fillId="0" borderId="1" xfId="0" applyBorder="1"/>
    <xf numFmtId="165" fontId="5" fillId="0" borderId="1" xfId="0" applyNumberFormat="1" applyFont="1" applyBorder="1"/>
    <xf numFmtId="165" fontId="0" fillId="0" borderId="1" xfId="0" applyNumberFormat="1" applyBorder="1"/>
    <xf numFmtId="0" fontId="4" fillId="4" borderId="1" xfId="0" applyFont="1" applyFill="1" applyBorder="1"/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7"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ont>
        <strike/>
        <color rgb="FFA6A6A6"/>
      </font>
    </dxf>
    <dxf>
      <fill>
        <patternFill patternType="solid">
          <f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/>
  </sheetViews>
  <sheetFormatPr defaultRowHeight="15" x14ac:dyDescent="0.25"/>
  <cols>
    <col min="1" max="1" width="38" customWidth="1"/>
    <col min="2" max="2" width="22" customWidth="1"/>
    <col min="3" max="3" width="70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s="4" t="s">
        <v>5</v>
      </c>
      <c r="B5" s="5">
        <v>2</v>
      </c>
      <c r="C5" s="6" t="s">
        <v>6</v>
      </c>
    </row>
    <row r="6" spans="1:3" x14ac:dyDescent="0.25">
      <c r="A6" s="4" t="s">
        <v>7</v>
      </c>
      <c r="B6" s="5">
        <v>2</v>
      </c>
      <c r="C6" s="6" t="s">
        <v>8</v>
      </c>
    </row>
    <row r="7" spans="1:3" x14ac:dyDescent="0.25">
      <c r="A7" s="4" t="s">
        <v>9</v>
      </c>
      <c r="B7" s="7">
        <v>0.25</v>
      </c>
      <c r="C7" s="6" t="s">
        <v>10</v>
      </c>
    </row>
    <row r="8" spans="1:3" x14ac:dyDescent="0.25">
      <c r="A8" s="4" t="s">
        <v>11</v>
      </c>
      <c r="B8" s="8">
        <v>185</v>
      </c>
      <c r="C8" s="6" t="s">
        <v>12</v>
      </c>
    </row>
    <row r="9" spans="1:3" x14ac:dyDescent="0.25">
      <c r="A9" s="4" t="s">
        <v>13</v>
      </c>
      <c r="B9" s="8">
        <v>550</v>
      </c>
      <c r="C9" s="6" t="s">
        <v>14</v>
      </c>
    </row>
    <row r="10" spans="1:3" x14ac:dyDescent="0.25">
      <c r="A10" s="4" t="s">
        <v>15</v>
      </c>
      <c r="B10" s="5" t="s">
        <v>16</v>
      </c>
      <c r="C10" s="6" t="s">
        <v>17</v>
      </c>
    </row>
    <row r="12" spans="1:3" ht="15.75" x14ac:dyDescent="0.25">
      <c r="A12" s="9" t="s">
        <v>18</v>
      </c>
    </row>
    <row r="13" spans="1:3" x14ac:dyDescent="0.25">
      <c r="A13" s="4" t="s">
        <v>19</v>
      </c>
      <c r="B13" s="10">
        <f>'DigiKey Order'!$R$25</f>
        <v>696.6</v>
      </c>
    </row>
    <row r="14" spans="1:3" x14ac:dyDescent="0.25">
      <c r="A14" s="4" t="s">
        <v>20</v>
      </c>
      <c r="B14" s="10">
        <f>IF(Settings!$B$10="excl. VAT",B13/(1+Settings!$B$7),B13)</f>
        <v>557.28</v>
      </c>
      <c r="C14" s="6" t="s">
        <v>21</v>
      </c>
    </row>
    <row r="15" spans="1:3" x14ac:dyDescent="0.25">
      <c r="A15" s="4" t="s">
        <v>22</v>
      </c>
      <c r="B15" s="10">
        <f>IF(B14&gt;=Settings!$B$9,0,Settings!$B$8*IF(Settings!$B$10="excl. VAT",1+Settings!$B$7,1))</f>
        <v>0</v>
      </c>
    </row>
    <row r="16" spans="1:3" x14ac:dyDescent="0.25">
      <c r="A16" s="11" t="s">
        <v>23</v>
      </c>
      <c r="B16" s="12">
        <f>B13+B15</f>
        <v>696.6</v>
      </c>
    </row>
    <row r="17" spans="1:3" x14ac:dyDescent="0.25">
      <c r="A17" s="4" t="s">
        <v>24</v>
      </c>
      <c r="B17" s="10">
        <f>MAX(0,Settings!$B$9-B14)*IF(Settings!$B$10="excl. VAT",1+Settings!$B$7,1)</f>
        <v>0</v>
      </c>
    </row>
    <row r="18" spans="1:3" x14ac:dyDescent="0.25">
      <c r="A18" s="4" t="s">
        <v>25</v>
      </c>
      <c r="B18" s="13" t="str">
        <f>IF(B17=0,"Free delivery reached",IF(B17&lt;B15,"Top up: add "&amp;TEXT(B17,"0")&amp;" kr of parts - cheaper than "&amp;TEXT(B15,"0")&amp;" kr delivery","Pay delivery - topping up would cost more than "&amp;TEXT(B15,"0")&amp;" kr"))</f>
        <v>Free delivery reached</v>
      </c>
    </row>
    <row r="19" spans="1:3" x14ac:dyDescent="0.25">
      <c r="A19" s="4" t="s">
        <v>26</v>
      </c>
      <c r="B19" s="14">
        <f>SUMPRODUCT(('DigiKey Order'!L4:L23="Y")*((LEFT('DigiKey Order'!I4:I23,1)="0")+('DigiKey Order'!I4:I23="14")))</f>
        <v>1</v>
      </c>
      <c r="C19" s="6" t="s">
        <v>27</v>
      </c>
    </row>
    <row r="22" spans="1:3" ht="15.75" x14ac:dyDescent="0.25">
      <c r="A22" s="9" t="s">
        <v>28</v>
      </c>
    </row>
    <row r="23" spans="1:3" x14ac:dyDescent="0.25">
      <c r="A23" s="4" t="s">
        <v>29</v>
      </c>
    </row>
    <row r="24" spans="1:3" x14ac:dyDescent="0.25">
      <c r="A24" s="4" t="s">
        <v>30</v>
      </c>
    </row>
    <row r="25" spans="1:3" x14ac:dyDescent="0.25">
      <c r="A25" s="4" t="s">
        <v>31</v>
      </c>
    </row>
    <row r="26" spans="1:3" x14ac:dyDescent="0.25">
      <c r="A26" s="4" t="s">
        <v>32</v>
      </c>
    </row>
    <row r="27" spans="1:3" x14ac:dyDescent="0.25">
      <c r="A27" s="4" t="s">
        <v>33</v>
      </c>
    </row>
    <row r="28" spans="1:3" x14ac:dyDescent="0.25">
      <c r="A28" s="4" t="s">
        <v>34</v>
      </c>
    </row>
    <row r="30" spans="1:3" ht="15.75" x14ac:dyDescent="0.25">
      <c r="A30" s="9" t="s">
        <v>35</v>
      </c>
    </row>
    <row r="31" spans="1:3" x14ac:dyDescent="0.25">
      <c r="A31" s="15" t="s">
        <v>36</v>
      </c>
    </row>
    <row r="32" spans="1:3" x14ac:dyDescent="0.25">
      <c r="A32" s="15" t="s">
        <v>37</v>
      </c>
    </row>
    <row r="33" spans="1:1" x14ac:dyDescent="0.25">
      <c r="A33" s="15" t="s">
        <v>38</v>
      </c>
    </row>
    <row r="34" spans="1:1" x14ac:dyDescent="0.25">
      <c r="A34" s="15" t="s">
        <v>39</v>
      </c>
    </row>
    <row r="35" spans="1:1" x14ac:dyDescent="0.25">
      <c r="A35" s="15" t="s">
        <v>40</v>
      </c>
    </row>
    <row r="36" spans="1:1" x14ac:dyDescent="0.25">
      <c r="A36" s="15" t="s">
        <v>41</v>
      </c>
    </row>
    <row r="37" spans="1:1" x14ac:dyDescent="0.25">
      <c r="A37" s="15" t="s">
        <v>42</v>
      </c>
    </row>
    <row r="38" spans="1:1" x14ac:dyDescent="0.25">
      <c r="A38" s="15" t="s">
        <v>43</v>
      </c>
    </row>
    <row r="39" spans="1:1" x14ac:dyDescent="0.25">
      <c r="A39" s="15" t="s">
        <v>44</v>
      </c>
    </row>
  </sheetData>
  <conditionalFormatting sqref="B18">
    <cfRule type="expression" dxfId="6" priority="1">
      <formula>LEFT(B18,3)="Top"</formula>
    </cfRule>
    <cfRule type="expression" dxfId="5" priority="2">
      <formula>LEFT(B18,4)="Free"</formula>
    </cfRule>
  </conditionalFormatting>
  <dataValidations count="1">
    <dataValidation type="list" sqref="B10" xr:uid="{00000000-0002-0000-0000-000000000000}">
      <formula1>"excl. VAT,incl. VAT"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"/>
  <sheetViews>
    <sheetView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2" width="36" customWidth="1"/>
    <col min="3" max="10" width="13" customWidth="1"/>
  </cols>
  <sheetData>
    <row r="1" spans="1:10" ht="16.5" x14ac:dyDescent="0.25">
      <c r="A1" s="16" t="s">
        <v>45</v>
      </c>
    </row>
    <row r="2" spans="1:10" x14ac:dyDescent="0.25">
      <c r="A2" s="6" t="s">
        <v>46</v>
      </c>
    </row>
    <row r="4" spans="1:10" x14ac:dyDescent="0.25">
      <c r="A4" s="11" t="s">
        <v>47</v>
      </c>
      <c r="C4" s="17">
        <v>1</v>
      </c>
      <c r="D4" s="17">
        <v>1</v>
      </c>
      <c r="E4" s="17">
        <v>1</v>
      </c>
      <c r="F4" s="17">
        <v>1</v>
      </c>
      <c r="G4" s="17">
        <v>2</v>
      </c>
      <c r="H4" s="17">
        <v>2</v>
      </c>
      <c r="I4" s="17">
        <v>2</v>
      </c>
      <c r="J4" s="17">
        <v>2</v>
      </c>
    </row>
    <row r="5" spans="1:10" x14ac:dyDescent="0.25">
      <c r="A5" s="11" t="s">
        <v>48</v>
      </c>
      <c r="C5" s="17">
        <v>2</v>
      </c>
      <c r="D5" s="17">
        <v>3</v>
      </c>
      <c r="E5" s="17">
        <v>4</v>
      </c>
      <c r="F5" s="17">
        <v>5</v>
      </c>
      <c r="G5" s="17">
        <v>2</v>
      </c>
      <c r="H5" s="17">
        <v>3</v>
      </c>
      <c r="I5" s="17">
        <v>4</v>
      </c>
      <c r="J5" s="17">
        <v>5</v>
      </c>
    </row>
    <row r="6" spans="1:10" ht="25.5" x14ac:dyDescent="0.25">
      <c r="A6" s="3" t="s">
        <v>49</v>
      </c>
      <c r="B6" s="3" t="s">
        <v>50</v>
      </c>
      <c r="C6" s="3" t="s">
        <v>51</v>
      </c>
      <c r="D6" s="3" t="s">
        <v>51</v>
      </c>
      <c r="E6" s="3" t="s">
        <v>51</v>
      </c>
      <c r="F6" s="3" t="s">
        <v>51</v>
      </c>
      <c r="G6" s="3" t="s">
        <v>51</v>
      </c>
      <c r="H6" s="3" t="s">
        <v>51</v>
      </c>
      <c r="I6" s="3" t="s">
        <v>51</v>
      </c>
      <c r="J6" s="3" t="s">
        <v>51</v>
      </c>
    </row>
    <row r="7" spans="1:10" x14ac:dyDescent="0.25">
      <c r="A7" s="18" t="str">
        <f>'DigiKey Order'!A4</f>
        <v>490-GRM31CR61A107MEA8LCT-ND</v>
      </c>
      <c r="B7" s="18" t="str">
        <f>'DigiKey Order'!D4</f>
        <v>CAP CER 100UF 10V X5R 1206</v>
      </c>
      <c r="C7" s="19">
        <f>IF(OR('DigiKey Order'!$L$4&lt;&gt;"Y",(MAX(0,'DigiKey Order'!$F$4*C$4+'DigiKey Order'!$H$4*C$5-'DigiKey Order'!$K$4)+'DigiKey Order'!$M$4)&lt;=0),0,(MAX(0,'DigiKey Order'!$F$4*C$4+'DigiKey Order'!$H$4*C$5-'DigiKey Order'!$K$4)+'DigiKey Order'!$M$4)*IF('DigiKey Order'!$P$4&lt;&gt;"",'DigiKey Order'!$P$4,LOOKUP((MAX(0,'DigiKey Order'!$F$4*C$4+'DigiKey Order'!$H$4*C$5-'DigiKey Order'!$K$4)+'DigiKey Order'!$M$4),'DigiKey Order'!$U$4:$AB$4,'DigiKey Order'!$AC$4:$AJ$4))*(1+Settings!$B$7))</f>
        <v>0</v>
      </c>
      <c r="D7" s="19">
        <f>IF(OR('DigiKey Order'!$L$4&lt;&gt;"Y",(MAX(0,'DigiKey Order'!$F$4*D$4+'DigiKey Order'!$H$4*D$5-'DigiKey Order'!$K$4)+'DigiKey Order'!$M$4)&lt;=0),0,(MAX(0,'DigiKey Order'!$F$4*D$4+'DigiKey Order'!$H$4*D$5-'DigiKey Order'!$K$4)+'DigiKey Order'!$M$4)*IF('DigiKey Order'!$P$4&lt;&gt;"",'DigiKey Order'!$P$4,LOOKUP((MAX(0,'DigiKey Order'!$F$4*D$4+'DigiKey Order'!$H$4*D$5-'DigiKey Order'!$K$4)+'DigiKey Order'!$M$4),'DigiKey Order'!$U$4:$AB$4,'DigiKey Order'!$AC$4:$AJ$4))*(1+Settings!$B$7))</f>
        <v>0</v>
      </c>
      <c r="E7" s="19">
        <f>IF(OR('DigiKey Order'!$L$4&lt;&gt;"Y",(MAX(0,'DigiKey Order'!$F$4*E$4+'DigiKey Order'!$H$4*E$5-'DigiKey Order'!$K$4)+'DigiKey Order'!$M$4)&lt;=0),0,(MAX(0,'DigiKey Order'!$F$4*E$4+'DigiKey Order'!$H$4*E$5-'DigiKey Order'!$K$4)+'DigiKey Order'!$M$4)*IF('DigiKey Order'!$P$4&lt;&gt;"",'DigiKey Order'!$P$4,LOOKUP((MAX(0,'DigiKey Order'!$F$4*E$4+'DigiKey Order'!$H$4*E$5-'DigiKey Order'!$K$4)+'DigiKey Order'!$M$4),'DigiKey Order'!$U$4:$AB$4,'DigiKey Order'!$AC$4:$AJ$4))*(1+Settings!$B$7))</f>
        <v>0</v>
      </c>
      <c r="F7" s="19">
        <f>IF(OR('DigiKey Order'!$L$4&lt;&gt;"Y",(MAX(0,'DigiKey Order'!$F$4*F$4+'DigiKey Order'!$H$4*F$5-'DigiKey Order'!$K$4)+'DigiKey Order'!$M$4)&lt;=0),0,(MAX(0,'DigiKey Order'!$F$4*F$4+'DigiKey Order'!$H$4*F$5-'DigiKey Order'!$K$4)+'DigiKey Order'!$M$4)*IF('DigiKey Order'!$P$4&lt;&gt;"",'DigiKey Order'!$P$4,LOOKUP((MAX(0,'DigiKey Order'!$F$4*F$4+'DigiKey Order'!$H$4*F$5-'DigiKey Order'!$K$4)+'DigiKey Order'!$M$4),'DigiKey Order'!$U$4:$AB$4,'DigiKey Order'!$AC$4:$AJ$4))*(1+Settings!$B$7))</f>
        <v>0</v>
      </c>
      <c r="G7" s="19">
        <f>IF(OR('DigiKey Order'!$L$4&lt;&gt;"Y",(MAX(0,'DigiKey Order'!$F$4*G$4+'DigiKey Order'!$H$4*G$5-'DigiKey Order'!$K$4)+'DigiKey Order'!$M$4)&lt;=0),0,(MAX(0,'DigiKey Order'!$F$4*G$4+'DigiKey Order'!$H$4*G$5-'DigiKey Order'!$K$4)+'DigiKey Order'!$M$4)*IF('DigiKey Order'!$P$4&lt;&gt;"",'DigiKey Order'!$P$4,LOOKUP((MAX(0,'DigiKey Order'!$F$4*G$4+'DigiKey Order'!$H$4*G$5-'DigiKey Order'!$K$4)+'DigiKey Order'!$M$4),'DigiKey Order'!$U$4:$AB$4,'DigiKey Order'!$AC$4:$AJ$4))*(1+Settings!$B$7))</f>
        <v>0</v>
      </c>
      <c r="H7" s="19">
        <f>IF(OR('DigiKey Order'!$L$4&lt;&gt;"Y",(MAX(0,'DigiKey Order'!$F$4*H$4+'DigiKey Order'!$H$4*H$5-'DigiKey Order'!$K$4)+'DigiKey Order'!$M$4)&lt;=0),0,(MAX(0,'DigiKey Order'!$F$4*H$4+'DigiKey Order'!$H$4*H$5-'DigiKey Order'!$K$4)+'DigiKey Order'!$M$4)*IF('DigiKey Order'!$P$4&lt;&gt;"",'DigiKey Order'!$P$4,LOOKUP((MAX(0,'DigiKey Order'!$F$4*H$4+'DigiKey Order'!$H$4*H$5-'DigiKey Order'!$K$4)+'DigiKey Order'!$M$4),'DigiKey Order'!$U$4:$AB$4,'DigiKey Order'!$AC$4:$AJ$4))*(1+Settings!$B$7))</f>
        <v>0</v>
      </c>
      <c r="I7" s="19">
        <f>IF(OR('DigiKey Order'!$L$4&lt;&gt;"Y",(MAX(0,'DigiKey Order'!$F$4*I$4+'DigiKey Order'!$H$4*I$5-'DigiKey Order'!$K$4)+'DigiKey Order'!$M$4)&lt;=0),0,(MAX(0,'DigiKey Order'!$F$4*I$4+'DigiKey Order'!$H$4*I$5-'DigiKey Order'!$K$4)+'DigiKey Order'!$M$4)*IF('DigiKey Order'!$P$4&lt;&gt;"",'DigiKey Order'!$P$4,LOOKUP((MAX(0,'DigiKey Order'!$F$4*I$4+'DigiKey Order'!$H$4*I$5-'DigiKey Order'!$K$4)+'DigiKey Order'!$M$4),'DigiKey Order'!$U$4:$AB$4,'DigiKey Order'!$AC$4:$AJ$4))*(1+Settings!$B$7))</f>
        <v>0</v>
      </c>
      <c r="J7" s="19">
        <f>IF(OR('DigiKey Order'!$L$4&lt;&gt;"Y",(MAX(0,'DigiKey Order'!$F$4*J$4+'DigiKey Order'!$H$4*J$5-'DigiKey Order'!$K$4)+'DigiKey Order'!$M$4)&lt;=0),0,(MAX(0,'DigiKey Order'!$F$4*J$4+'DigiKey Order'!$H$4*J$5-'DigiKey Order'!$K$4)+'DigiKey Order'!$M$4)*IF('DigiKey Order'!$P$4&lt;&gt;"",'DigiKey Order'!$P$4,LOOKUP((MAX(0,'DigiKey Order'!$F$4*J$4+'DigiKey Order'!$H$4*J$5-'DigiKey Order'!$K$4)+'DigiKey Order'!$M$4),'DigiKey Order'!$U$4:$AB$4,'DigiKey Order'!$AC$4:$AJ$4))*(1+Settings!$B$7))</f>
        <v>0</v>
      </c>
    </row>
    <row r="8" spans="1:10" x14ac:dyDescent="0.25">
      <c r="A8" s="18" t="str">
        <f>'DigiKey Order'!A5</f>
        <v>490-5869-1-ND</v>
      </c>
      <c r="B8" s="18" t="str">
        <f>'DigiKey Order'!D5</f>
        <v>CAP CER 27PF 50V C0G 0402</v>
      </c>
      <c r="C8" s="19">
        <f>IF(OR('DigiKey Order'!$L$5&lt;&gt;"Y",(MAX(0,'DigiKey Order'!$F$5*C$4+'DigiKey Order'!$H$5*C$5-'DigiKey Order'!$K$5)+'DigiKey Order'!$M$5)&lt;=0),0,(MAX(0,'DigiKey Order'!$F$5*C$4+'DigiKey Order'!$H$5*C$5-'DigiKey Order'!$K$5)+'DigiKey Order'!$M$5)*IF('DigiKey Order'!$P$5&lt;&gt;"",'DigiKey Order'!$P$5,LOOKUP((MAX(0,'DigiKey Order'!$F$5*C$4+'DigiKey Order'!$H$5*C$5-'DigiKey Order'!$K$5)+'DigiKey Order'!$M$5),'DigiKey Order'!$U$5:$AB$5,'DigiKey Order'!$AC$5:$AJ$5))*(1+Settings!$B$7))</f>
        <v>1.7250000000000001</v>
      </c>
      <c r="D8" s="19">
        <f>IF(OR('DigiKey Order'!$L$5&lt;&gt;"Y",(MAX(0,'DigiKey Order'!$F$5*D$4+'DigiKey Order'!$H$5*D$5-'DigiKey Order'!$K$5)+'DigiKey Order'!$M$5)&lt;=0),0,(MAX(0,'DigiKey Order'!$F$5*D$4+'DigiKey Order'!$H$5*D$5-'DigiKey Order'!$K$5)+'DigiKey Order'!$M$5)*IF('DigiKey Order'!$P$5&lt;&gt;"",'DigiKey Order'!$P$5,LOOKUP((MAX(0,'DigiKey Order'!$F$5*D$4+'DigiKey Order'!$H$5*D$5-'DigiKey Order'!$K$5)+'DigiKey Order'!$M$5),'DigiKey Order'!$U$5:$AB$5,'DigiKey Order'!$AC$5:$AJ$5))*(1+Settings!$B$7))</f>
        <v>2.0700000000000003</v>
      </c>
      <c r="E8" s="19">
        <f>IF(OR('DigiKey Order'!$L$5&lt;&gt;"Y",(MAX(0,'DigiKey Order'!$F$5*E$4+'DigiKey Order'!$H$5*E$5-'DigiKey Order'!$K$5)+'DigiKey Order'!$M$5)&lt;=0),0,(MAX(0,'DigiKey Order'!$F$5*E$4+'DigiKey Order'!$H$5*E$5-'DigiKey Order'!$K$5)+'DigiKey Order'!$M$5)*IF('DigiKey Order'!$P$5&lt;&gt;"",'DigiKey Order'!$P$5,LOOKUP((MAX(0,'DigiKey Order'!$F$5*E$4+'DigiKey Order'!$H$5*E$5-'DigiKey Order'!$K$5)+'DigiKey Order'!$M$5),'DigiKey Order'!$U$5:$AB$5,'DigiKey Order'!$AC$5:$AJ$5))*(1+Settings!$B$7))</f>
        <v>2.415</v>
      </c>
      <c r="F8" s="19">
        <f>IF(OR('DigiKey Order'!$L$5&lt;&gt;"Y",(MAX(0,'DigiKey Order'!$F$5*F$4+'DigiKey Order'!$H$5*F$5-'DigiKey Order'!$K$5)+'DigiKey Order'!$M$5)&lt;=0),0,(MAX(0,'DigiKey Order'!$F$5*F$4+'DigiKey Order'!$H$5*F$5-'DigiKey Order'!$K$5)+'DigiKey Order'!$M$5)*IF('DigiKey Order'!$P$5&lt;&gt;"",'DigiKey Order'!$P$5,LOOKUP((MAX(0,'DigiKey Order'!$F$5*F$4+'DigiKey Order'!$H$5*F$5-'DigiKey Order'!$K$5)+'DigiKey Order'!$M$5),'DigiKey Order'!$U$5:$AB$5,'DigiKey Order'!$AC$5:$AJ$5))*(1+Settings!$B$7))</f>
        <v>2.7600000000000002</v>
      </c>
      <c r="G8" s="19">
        <f>IF(OR('DigiKey Order'!$L$5&lt;&gt;"Y",(MAX(0,'DigiKey Order'!$F$5*G$4+'DigiKey Order'!$H$5*G$5-'DigiKey Order'!$K$5)+'DigiKey Order'!$M$5)&lt;=0),0,(MAX(0,'DigiKey Order'!$F$5*G$4+'DigiKey Order'!$H$5*G$5-'DigiKey Order'!$K$5)+'DigiKey Order'!$M$5)*IF('DigiKey Order'!$P$5&lt;&gt;"",'DigiKey Order'!$P$5,LOOKUP((MAX(0,'DigiKey Order'!$F$5*G$4+'DigiKey Order'!$H$5*G$5-'DigiKey Order'!$K$5)+'DigiKey Order'!$M$5),'DigiKey Order'!$U$5:$AB$5,'DigiKey Order'!$AC$5:$AJ$5))*(1+Settings!$B$7))</f>
        <v>1.7250000000000001</v>
      </c>
      <c r="H8" s="19">
        <f>IF(OR('DigiKey Order'!$L$5&lt;&gt;"Y",(MAX(0,'DigiKey Order'!$F$5*H$4+'DigiKey Order'!$H$5*H$5-'DigiKey Order'!$K$5)+'DigiKey Order'!$M$5)&lt;=0),0,(MAX(0,'DigiKey Order'!$F$5*H$4+'DigiKey Order'!$H$5*H$5-'DigiKey Order'!$K$5)+'DigiKey Order'!$M$5)*IF('DigiKey Order'!$P$5&lt;&gt;"",'DigiKey Order'!$P$5,LOOKUP((MAX(0,'DigiKey Order'!$F$5*H$4+'DigiKey Order'!$H$5*H$5-'DigiKey Order'!$K$5)+'DigiKey Order'!$M$5),'DigiKey Order'!$U$5:$AB$5,'DigiKey Order'!$AC$5:$AJ$5))*(1+Settings!$B$7))</f>
        <v>2.0700000000000003</v>
      </c>
      <c r="I8" s="19">
        <f>IF(OR('DigiKey Order'!$L$5&lt;&gt;"Y",(MAX(0,'DigiKey Order'!$F$5*I$4+'DigiKey Order'!$H$5*I$5-'DigiKey Order'!$K$5)+'DigiKey Order'!$M$5)&lt;=0),0,(MAX(0,'DigiKey Order'!$F$5*I$4+'DigiKey Order'!$H$5*I$5-'DigiKey Order'!$K$5)+'DigiKey Order'!$M$5)*IF('DigiKey Order'!$P$5&lt;&gt;"",'DigiKey Order'!$P$5,LOOKUP((MAX(0,'DigiKey Order'!$F$5*I$4+'DigiKey Order'!$H$5*I$5-'DigiKey Order'!$K$5)+'DigiKey Order'!$M$5),'DigiKey Order'!$U$5:$AB$5,'DigiKey Order'!$AC$5:$AJ$5))*(1+Settings!$B$7))</f>
        <v>2.415</v>
      </c>
      <c r="J8" s="19">
        <f>IF(OR('DigiKey Order'!$L$5&lt;&gt;"Y",(MAX(0,'DigiKey Order'!$F$5*J$4+'DigiKey Order'!$H$5*J$5-'DigiKey Order'!$K$5)+'DigiKey Order'!$M$5)&lt;=0),0,(MAX(0,'DigiKey Order'!$F$5*J$4+'DigiKey Order'!$H$5*J$5-'DigiKey Order'!$K$5)+'DigiKey Order'!$M$5)*IF('DigiKey Order'!$P$5&lt;&gt;"",'DigiKey Order'!$P$5,LOOKUP((MAX(0,'DigiKey Order'!$F$5*J$4+'DigiKey Order'!$H$5*J$5-'DigiKey Order'!$K$5)+'DigiKey Order'!$M$5),'DigiKey Order'!$U$5:$AB$5,'DigiKey Order'!$AC$5:$AJ$5))*(1+Settings!$B$7))</f>
        <v>2.7600000000000002</v>
      </c>
    </row>
    <row r="9" spans="1:10" x14ac:dyDescent="0.25">
      <c r="A9" s="18" t="str">
        <f>'DigiKey Order'!A6</f>
        <v>RMCF0603FT5K10CT-ND</v>
      </c>
      <c r="B9" s="18" t="str">
        <f>'DigiKey Order'!D6</f>
        <v>RES 5.1K OHM 1% 1/10W 0603</v>
      </c>
      <c r="C9" s="19">
        <f>IF(OR('DigiKey Order'!$L$6&lt;&gt;"Y",(MAX(0,'DigiKey Order'!$F$6*C$4+'DigiKey Order'!$H$6*C$5-'DigiKey Order'!$K$6)+'DigiKey Order'!$M$6)&lt;=0),0,(MAX(0,'DigiKey Order'!$F$6*C$4+'DigiKey Order'!$H$6*C$5-'DigiKey Order'!$K$6)+'DigiKey Order'!$M$6)*IF('DigiKey Order'!$P$6&lt;&gt;"",'DigiKey Order'!$P$6,LOOKUP((MAX(0,'DigiKey Order'!$F$6*C$4+'DigiKey Order'!$H$6*C$5-'DigiKey Order'!$K$6)+'DigiKey Order'!$M$6),'DigiKey Order'!$U$6:$AB$6,'DigiKey Order'!$AC$6:$AJ$6))*(1+Settings!$B$7))</f>
        <v>0</v>
      </c>
      <c r="D9" s="19">
        <f>IF(OR('DigiKey Order'!$L$6&lt;&gt;"Y",(MAX(0,'DigiKey Order'!$F$6*D$4+'DigiKey Order'!$H$6*D$5-'DigiKey Order'!$K$6)+'DigiKey Order'!$M$6)&lt;=0),0,(MAX(0,'DigiKey Order'!$F$6*D$4+'DigiKey Order'!$H$6*D$5-'DigiKey Order'!$K$6)+'DigiKey Order'!$M$6)*IF('DigiKey Order'!$P$6&lt;&gt;"",'DigiKey Order'!$P$6,LOOKUP((MAX(0,'DigiKey Order'!$F$6*D$4+'DigiKey Order'!$H$6*D$5-'DigiKey Order'!$K$6)+'DigiKey Order'!$M$6),'DigiKey Order'!$U$6:$AB$6,'DigiKey Order'!$AC$6:$AJ$6))*(1+Settings!$B$7))</f>
        <v>0</v>
      </c>
      <c r="E9" s="19">
        <f>IF(OR('DigiKey Order'!$L$6&lt;&gt;"Y",(MAX(0,'DigiKey Order'!$F$6*E$4+'DigiKey Order'!$H$6*E$5-'DigiKey Order'!$K$6)+'DigiKey Order'!$M$6)&lt;=0),0,(MAX(0,'DigiKey Order'!$F$6*E$4+'DigiKey Order'!$H$6*E$5-'DigiKey Order'!$K$6)+'DigiKey Order'!$M$6)*IF('DigiKey Order'!$P$6&lt;&gt;"",'DigiKey Order'!$P$6,LOOKUP((MAX(0,'DigiKey Order'!$F$6*E$4+'DigiKey Order'!$H$6*E$5-'DigiKey Order'!$K$6)+'DigiKey Order'!$M$6),'DigiKey Order'!$U$6:$AB$6,'DigiKey Order'!$AC$6:$AJ$6))*(1+Settings!$B$7))</f>
        <v>0</v>
      </c>
      <c r="F9" s="19">
        <f>IF(OR('DigiKey Order'!$L$6&lt;&gt;"Y",(MAX(0,'DigiKey Order'!$F$6*F$4+'DigiKey Order'!$H$6*F$5-'DigiKey Order'!$K$6)+'DigiKey Order'!$M$6)&lt;=0),0,(MAX(0,'DigiKey Order'!$F$6*F$4+'DigiKey Order'!$H$6*F$5-'DigiKey Order'!$K$6)+'DigiKey Order'!$M$6)*IF('DigiKey Order'!$P$6&lt;&gt;"",'DigiKey Order'!$P$6,LOOKUP((MAX(0,'DigiKey Order'!$F$6*F$4+'DigiKey Order'!$H$6*F$5-'DigiKey Order'!$K$6)+'DigiKey Order'!$M$6),'DigiKey Order'!$U$6:$AB$6,'DigiKey Order'!$AC$6:$AJ$6))*(1+Settings!$B$7))</f>
        <v>0</v>
      </c>
      <c r="G9" s="19">
        <f>IF(OR('DigiKey Order'!$L$6&lt;&gt;"Y",(MAX(0,'DigiKey Order'!$F$6*G$4+'DigiKey Order'!$H$6*G$5-'DigiKey Order'!$K$6)+'DigiKey Order'!$M$6)&lt;=0),0,(MAX(0,'DigiKey Order'!$F$6*G$4+'DigiKey Order'!$H$6*G$5-'DigiKey Order'!$K$6)+'DigiKey Order'!$M$6)*IF('DigiKey Order'!$P$6&lt;&gt;"",'DigiKey Order'!$P$6,LOOKUP((MAX(0,'DigiKey Order'!$F$6*G$4+'DigiKey Order'!$H$6*G$5-'DigiKey Order'!$K$6)+'DigiKey Order'!$M$6),'DigiKey Order'!$U$6:$AB$6,'DigiKey Order'!$AC$6:$AJ$6))*(1+Settings!$B$7))</f>
        <v>0</v>
      </c>
      <c r="H9" s="19">
        <f>IF(OR('DigiKey Order'!$L$6&lt;&gt;"Y",(MAX(0,'DigiKey Order'!$F$6*H$4+'DigiKey Order'!$H$6*H$5-'DigiKey Order'!$K$6)+'DigiKey Order'!$M$6)&lt;=0),0,(MAX(0,'DigiKey Order'!$F$6*H$4+'DigiKey Order'!$H$6*H$5-'DigiKey Order'!$K$6)+'DigiKey Order'!$M$6)*IF('DigiKey Order'!$P$6&lt;&gt;"",'DigiKey Order'!$P$6,LOOKUP((MAX(0,'DigiKey Order'!$F$6*H$4+'DigiKey Order'!$H$6*H$5-'DigiKey Order'!$K$6)+'DigiKey Order'!$M$6),'DigiKey Order'!$U$6:$AB$6,'DigiKey Order'!$AC$6:$AJ$6))*(1+Settings!$B$7))</f>
        <v>0</v>
      </c>
      <c r="I9" s="19">
        <f>IF(OR('DigiKey Order'!$L$6&lt;&gt;"Y",(MAX(0,'DigiKey Order'!$F$6*I$4+'DigiKey Order'!$H$6*I$5-'DigiKey Order'!$K$6)+'DigiKey Order'!$M$6)&lt;=0),0,(MAX(0,'DigiKey Order'!$F$6*I$4+'DigiKey Order'!$H$6*I$5-'DigiKey Order'!$K$6)+'DigiKey Order'!$M$6)*IF('DigiKey Order'!$P$6&lt;&gt;"",'DigiKey Order'!$P$6,LOOKUP((MAX(0,'DigiKey Order'!$F$6*I$4+'DigiKey Order'!$H$6*I$5-'DigiKey Order'!$K$6)+'DigiKey Order'!$M$6),'DigiKey Order'!$U$6:$AB$6,'DigiKey Order'!$AC$6:$AJ$6))*(1+Settings!$B$7))</f>
        <v>0</v>
      </c>
      <c r="J9" s="19">
        <f>IF(OR('DigiKey Order'!$L$6&lt;&gt;"Y",(MAX(0,'DigiKey Order'!$F$6*J$4+'DigiKey Order'!$H$6*J$5-'DigiKey Order'!$K$6)+'DigiKey Order'!$M$6)&lt;=0),0,(MAX(0,'DigiKey Order'!$F$6*J$4+'DigiKey Order'!$H$6*J$5-'DigiKey Order'!$K$6)+'DigiKey Order'!$M$6)*IF('DigiKey Order'!$P$6&lt;&gt;"",'DigiKey Order'!$P$6,LOOKUP((MAX(0,'DigiKey Order'!$F$6*J$4+'DigiKey Order'!$H$6*J$5-'DigiKey Order'!$K$6)+'DigiKey Order'!$M$6),'DigiKey Order'!$U$6:$AB$6,'DigiKey Order'!$AC$6:$AJ$6))*(1+Settings!$B$7))</f>
        <v>0</v>
      </c>
    </row>
    <row r="10" spans="1:10" x14ac:dyDescent="0.25">
      <c r="A10" s="18" t="str">
        <f>'DigiKey Order'!A7</f>
        <v>475-LGQ976.01-MGNI-35-1CT-ND</v>
      </c>
      <c r="B10" s="18" t="str">
        <f>'DigiKey Order'!D7</f>
        <v>LED GREEN CLEAR 0603 SMD</v>
      </c>
      <c r="C10" s="19">
        <f>IF(OR('DigiKey Order'!$L$7&lt;&gt;"Y",(MAX(0,'DigiKey Order'!$F$7*C$4+'DigiKey Order'!$H$7*C$5-'DigiKey Order'!$K$7)+'DigiKey Order'!$M$7)&lt;=0),0,(MAX(0,'DigiKey Order'!$F$7*C$4+'DigiKey Order'!$H$7*C$5-'DigiKey Order'!$K$7)+'DigiKey Order'!$M$7)*IF('DigiKey Order'!$P$7&lt;&gt;"",'DigiKey Order'!$P$7,LOOKUP((MAX(0,'DigiKey Order'!$F$7*C$4+'DigiKey Order'!$H$7*C$5-'DigiKey Order'!$K$7)+'DigiKey Order'!$M$7),'DigiKey Order'!$U$7:$AB$7,'DigiKey Order'!$AC$7:$AJ$7))*(1+Settings!$B$7))</f>
        <v>0</v>
      </c>
      <c r="D10" s="19">
        <f>IF(OR('DigiKey Order'!$L$7&lt;&gt;"Y",(MAX(0,'DigiKey Order'!$F$7*D$4+'DigiKey Order'!$H$7*D$5-'DigiKey Order'!$K$7)+'DigiKey Order'!$M$7)&lt;=0),0,(MAX(0,'DigiKey Order'!$F$7*D$4+'DigiKey Order'!$H$7*D$5-'DigiKey Order'!$K$7)+'DigiKey Order'!$M$7)*IF('DigiKey Order'!$P$7&lt;&gt;"",'DigiKey Order'!$P$7,LOOKUP((MAX(0,'DigiKey Order'!$F$7*D$4+'DigiKey Order'!$H$7*D$5-'DigiKey Order'!$K$7)+'DigiKey Order'!$M$7),'DigiKey Order'!$U$7:$AB$7,'DigiKey Order'!$AC$7:$AJ$7))*(1+Settings!$B$7))</f>
        <v>0</v>
      </c>
      <c r="E10" s="19">
        <f>IF(OR('DigiKey Order'!$L$7&lt;&gt;"Y",(MAX(0,'DigiKey Order'!$F$7*E$4+'DigiKey Order'!$H$7*E$5-'DigiKey Order'!$K$7)+'DigiKey Order'!$M$7)&lt;=0),0,(MAX(0,'DigiKey Order'!$F$7*E$4+'DigiKey Order'!$H$7*E$5-'DigiKey Order'!$K$7)+'DigiKey Order'!$M$7)*IF('DigiKey Order'!$P$7&lt;&gt;"",'DigiKey Order'!$P$7,LOOKUP((MAX(0,'DigiKey Order'!$F$7*E$4+'DigiKey Order'!$H$7*E$5-'DigiKey Order'!$K$7)+'DigiKey Order'!$M$7),'DigiKey Order'!$U$7:$AB$7,'DigiKey Order'!$AC$7:$AJ$7))*(1+Settings!$B$7))</f>
        <v>0</v>
      </c>
      <c r="F10" s="19">
        <f>IF(OR('DigiKey Order'!$L$7&lt;&gt;"Y",(MAX(0,'DigiKey Order'!$F$7*F$4+'DigiKey Order'!$H$7*F$5-'DigiKey Order'!$K$7)+'DigiKey Order'!$M$7)&lt;=0),0,(MAX(0,'DigiKey Order'!$F$7*F$4+'DigiKey Order'!$H$7*F$5-'DigiKey Order'!$K$7)+'DigiKey Order'!$M$7)*IF('DigiKey Order'!$P$7&lt;&gt;"",'DigiKey Order'!$P$7,LOOKUP((MAX(0,'DigiKey Order'!$F$7*F$4+'DigiKey Order'!$H$7*F$5-'DigiKey Order'!$K$7)+'DigiKey Order'!$M$7),'DigiKey Order'!$U$7:$AB$7,'DigiKey Order'!$AC$7:$AJ$7))*(1+Settings!$B$7))</f>
        <v>0</v>
      </c>
      <c r="G10" s="19">
        <f>IF(OR('DigiKey Order'!$L$7&lt;&gt;"Y",(MAX(0,'DigiKey Order'!$F$7*G$4+'DigiKey Order'!$H$7*G$5-'DigiKey Order'!$K$7)+'DigiKey Order'!$M$7)&lt;=0),0,(MAX(0,'DigiKey Order'!$F$7*G$4+'DigiKey Order'!$H$7*G$5-'DigiKey Order'!$K$7)+'DigiKey Order'!$M$7)*IF('DigiKey Order'!$P$7&lt;&gt;"",'DigiKey Order'!$P$7,LOOKUP((MAX(0,'DigiKey Order'!$F$7*G$4+'DigiKey Order'!$H$7*G$5-'DigiKey Order'!$K$7)+'DigiKey Order'!$M$7),'DigiKey Order'!$U$7:$AB$7,'DigiKey Order'!$AC$7:$AJ$7))*(1+Settings!$B$7))</f>
        <v>0</v>
      </c>
      <c r="H10" s="19">
        <f>IF(OR('DigiKey Order'!$L$7&lt;&gt;"Y",(MAX(0,'DigiKey Order'!$F$7*H$4+'DigiKey Order'!$H$7*H$5-'DigiKey Order'!$K$7)+'DigiKey Order'!$M$7)&lt;=0),0,(MAX(0,'DigiKey Order'!$F$7*H$4+'DigiKey Order'!$H$7*H$5-'DigiKey Order'!$K$7)+'DigiKey Order'!$M$7)*IF('DigiKey Order'!$P$7&lt;&gt;"",'DigiKey Order'!$P$7,LOOKUP((MAX(0,'DigiKey Order'!$F$7*H$4+'DigiKey Order'!$H$7*H$5-'DigiKey Order'!$K$7)+'DigiKey Order'!$M$7),'DigiKey Order'!$U$7:$AB$7,'DigiKey Order'!$AC$7:$AJ$7))*(1+Settings!$B$7))</f>
        <v>0</v>
      </c>
      <c r="I10" s="19">
        <f>IF(OR('DigiKey Order'!$L$7&lt;&gt;"Y",(MAX(0,'DigiKey Order'!$F$7*I$4+'DigiKey Order'!$H$7*I$5-'DigiKey Order'!$K$7)+'DigiKey Order'!$M$7)&lt;=0),0,(MAX(0,'DigiKey Order'!$F$7*I$4+'DigiKey Order'!$H$7*I$5-'DigiKey Order'!$K$7)+'DigiKey Order'!$M$7)*IF('DigiKey Order'!$P$7&lt;&gt;"",'DigiKey Order'!$P$7,LOOKUP((MAX(0,'DigiKey Order'!$F$7*I$4+'DigiKey Order'!$H$7*I$5-'DigiKey Order'!$K$7)+'DigiKey Order'!$M$7),'DigiKey Order'!$U$7:$AB$7,'DigiKey Order'!$AC$7:$AJ$7))*(1+Settings!$B$7))</f>
        <v>0</v>
      </c>
      <c r="J10" s="19">
        <f>IF(OR('DigiKey Order'!$L$7&lt;&gt;"Y",(MAX(0,'DigiKey Order'!$F$7*J$4+'DigiKey Order'!$H$7*J$5-'DigiKey Order'!$K$7)+'DigiKey Order'!$M$7)&lt;=0),0,(MAX(0,'DigiKey Order'!$F$7*J$4+'DigiKey Order'!$H$7*J$5-'DigiKey Order'!$K$7)+'DigiKey Order'!$M$7)*IF('DigiKey Order'!$P$7&lt;&gt;"",'DigiKey Order'!$P$7,LOOKUP((MAX(0,'DigiKey Order'!$F$7*J$4+'DigiKey Order'!$H$7*J$5-'DigiKey Order'!$K$7)+'DigiKey Order'!$M$7),'DigiKey Order'!$U$7:$AB$7,'DigiKey Order'!$AC$7:$AJ$7))*(1+Settings!$B$7))</f>
        <v>0</v>
      </c>
    </row>
    <row r="11" spans="1:10" x14ac:dyDescent="0.25">
      <c r="A11" s="18" t="str">
        <f>'DigiKey Order'!A8</f>
        <v>475-LOQ976.01-P2R2-25-1-20-R18CT-ND</v>
      </c>
      <c r="B11" s="18" t="str">
        <f>'DigiKey Order'!D8</f>
        <v>LED ORANGE CLEAR 0603 SMD</v>
      </c>
      <c r="C11" s="19">
        <f>IF(OR('DigiKey Order'!$L$8&lt;&gt;"Y",(MAX(0,'DigiKey Order'!$F$8*C$4+'DigiKey Order'!$H$8*C$5-'DigiKey Order'!$K$8)+'DigiKey Order'!$M$8)&lt;=0),0,(MAX(0,'DigiKey Order'!$F$8*C$4+'DigiKey Order'!$H$8*C$5-'DigiKey Order'!$K$8)+'DigiKey Order'!$M$8)*IF('DigiKey Order'!$P$8&lt;&gt;"",'DigiKey Order'!$P$8,LOOKUP((MAX(0,'DigiKey Order'!$F$8*C$4+'DigiKey Order'!$H$8*C$5-'DigiKey Order'!$K$8)+'DigiKey Order'!$M$8),'DigiKey Order'!$U$8:$AB$8,'DigiKey Order'!$AC$8:$AJ$8))*(1+Settings!$B$7))</f>
        <v>0</v>
      </c>
      <c r="D11" s="19">
        <f>IF(OR('DigiKey Order'!$L$8&lt;&gt;"Y",(MAX(0,'DigiKey Order'!$F$8*D$4+'DigiKey Order'!$H$8*D$5-'DigiKey Order'!$K$8)+'DigiKey Order'!$M$8)&lt;=0),0,(MAX(0,'DigiKey Order'!$F$8*D$4+'DigiKey Order'!$H$8*D$5-'DigiKey Order'!$K$8)+'DigiKey Order'!$M$8)*IF('DigiKey Order'!$P$8&lt;&gt;"",'DigiKey Order'!$P$8,LOOKUP((MAX(0,'DigiKey Order'!$F$8*D$4+'DigiKey Order'!$H$8*D$5-'DigiKey Order'!$K$8)+'DigiKey Order'!$M$8),'DigiKey Order'!$U$8:$AB$8,'DigiKey Order'!$AC$8:$AJ$8))*(1+Settings!$B$7))</f>
        <v>0</v>
      </c>
      <c r="E11" s="19">
        <f>IF(OR('DigiKey Order'!$L$8&lt;&gt;"Y",(MAX(0,'DigiKey Order'!$F$8*E$4+'DigiKey Order'!$H$8*E$5-'DigiKey Order'!$K$8)+'DigiKey Order'!$M$8)&lt;=0),0,(MAX(0,'DigiKey Order'!$F$8*E$4+'DigiKey Order'!$H$8*E$5-'DigiKey Order'!$K$8)+'DigiKey Order'!$M$8)*IF('DigiKey Order'!$P$8&lt;&gt;"",'DigiKey Order'!$P$8,LOOKUP((MAX(0,'DigiKey Order'!$F$8*E$4+'DigiKey Order'!$H$8*E$5-'DigiKey Order'!$K$8)+'DigiKey Order'!$M$8),'DigiKey Order'!$U$8:$AB$8,'DigiKey Order'!$AC$8:$AJ$8))*(1+Settings!$B$7))</f>
        <v>0</v>
      </c>
      <c r="F11" s="19">
        <f>IF(OR('DigiKey Order'!$L$8&lt;&gt;"Y",(MAX(0,'DigiKey Order'!$F$8*F$4+'DigiKey Order'!$H$8*F$5-'DigiKey Order'!$K$8)+'DigiKey Order'!$M$8)&lt;=0),0,(MAX(0,'DigiKey Order'!$F$8*F$4+'DigiKey Order'!$H$8*F$5-'DigiKey Order'!$K$8)+'DigiKey Order'!$M$8)*IF('DigiKey Order'!$P$8&lt;&gt;"",'DigiKey Order'!$P$8,LOOKUP((MAX(0,'DigiKey Order'!$F$8*F$4+'DigiKey Order'!$H$8*F$5-'DigiKey Order'!$K$8)+'DigiKey Order'!$M$8),'DigiKey Order'!$U$8:$AB$8,'DigiKey Order'!$AC$8:$AJ$8))*(1+Settings!$B$7))</f>
        <v>0</v>
      </c>
      <c r="G11" s="19">
        <f>IF(OR('DigiKey Order'!$L$8&lt;&gt;"Y",(MAX(0,'DigiKey Order'!$F$8*G$4+'DigiKey Order'!$H$8*G$5-'DigiKey Order'!$K$8)+'DigiKey Order'!$M$8)&lt;=0),0,(MAX(0,'DigiKey Order'!$F$8*G$4+'DigiKey Order'!$H$8*G$5-'DigiKey Order'!$K$8)+'DigiKey Order'!$M$8)*IF('DigiKey Order'!$P$8&lt;&gt;"",'DigiKey Order'!$P$8,LOOKUP((MAX(0,'DigiKey Order'!$F$8*G$4+'DigiKey Order'!$H$8*G$5-'DigiKey Order'!$K$8)+'DigiKey Order'!$M$8),'DigiKey Order'!$U$8:$AB$8,'DigiKey Order'!$AC$8:$AJ$8))*(1+Settings!$B$7))</f>
        <v>0</v>
      </c>
      <c r="H11" s="19">
        <f>IF(OR('DigiKey Order'!$L$8&lt;&gt;"Y",(MAX(0,'DigiKey Order'!$F$8*H$4+'DigiKey Order'!$H$8*H$5-'DigiKey Order'!$K$8)+'DigiKey Order'!$M$8)&lt;=0),0,(MAX(0,'DigiKey Order'!$F$8*H$4+'DigiKey Order'!$H$8*H$5-'DigiKey Order'!$K$8)+'DigiKey Order'!$M$8)*IF('DigiKey Order'!$P$8&lt;&gt;"",'DigiKey Order'!$P$8,LOOKUP((MAX(0,'DigiKey Order'!$F$8*H$4+'DigiKey Order'!$H$8*H$5-'DigiKey Order'!$K$8)+'DigiKey Order'!$M$8),'DigiKey Order'!$U$8:$AB$8,'DigiKey Order'!$AC$8:$AJ$8))*(1+Settings!$B$7))</f>
        <v>0</v>
      </c>
      <c r="I11" s="19">
        <f>IF(OR('DigiKey Order'!$L$8&lt;&gt;"Y",(MAX(0,'DigiKey Order'!$F$8*I$4+'DigiKey Order'!$H$8*I$5-'DigiKey Order'!$K$8)+'DigiKey Order'!$M$8)&lt;=0),0,(MAX(0,'DigiKey Order'!$F$8*I$4+'DigiKey Order'!$H$8*I$5-'DigiKey Order'!$K$8)+'DigiKey Order'!$M$8)*IF('DigiKey Order'!$P$8&lt;&gt;"",'DigiKey Order'!$P$8,LOOKUP((MAX(0,'DigiKey Order'!$F$8*I$4+'DigiKey Order'!$H$8*I$5-'DigiKey Order'!$K$8)+'DigiKey Order'!$M$8),'DigiKey Order'!$U$8:$AB$8,'DigiKey Order'!$AC$8:$AJ$8))*(1+Settings!$B$7))</f>
        <v>0</v>
      </c>
      <c r="J11" s="19">
        <f>IF(OR('DigiKey Order'!$L$8&lt;&gt;"Y",(MAX(0,'DigiKey Order'!$F$8*J$4+'DigiKey Order'!$H$8*J$5-'DigiKey Order'!$K$8)+'DigiKey Order'!$M$8)&lt;=0),0,(MAX(0,'DigiKey Order'!$F$8*J$4+'DigiKey Order'!$H$8*J$5-'DigiKey Order'!$K$8)+'DigiKey Order'!$M$8)*IF('DigiKey Order'!$P$8&lt;&gt;"",'DigiKey Order'!$P$8,LOOKUP((MAX(0,'DigiKey Order'!$F$8*J$4+'DigiKey Order'!$H$8*J$5-'DigiKey Order'!$K$8)+'DigiKey Order'!$M$8),'DigiKey Order'!$U$8:$AB$8,'DigiKey Order'!$AC$8:$AJ$8))*(1+Settings!$B$7))</f>
        <v>0</v>
      </c>
    </row>
    <row r="12" spans="1:10" x14ac:dyDescent="0.25">
      <c r="A12" s="18" t="str">
        <f>'DigiKey Order'!A9</f>
        <v>900-2086581001CT-ND</v>
      </c>
      <c r="B12" s="18" t="str">
        <f>'DigiKey Order'!D9</f>
        <v>CONN RCPT HDMI V2.1 19POS SMD RA</v>
      </c>
      <c r="C12" s="19">
        <f>IF(OR('DigiKey Order'!$L$9&lt;&gt;"Y",(MAX(0,'DigiKey Order'!$F$9*C$4+'DigiKey Order'!$H$9*C$5-'DigiKey Order'!$K$9)+'DigiKey Order'!$M$9)&lt;=0),0,(MAX(0,'DigiKey Order'!$F$9*C$4+'DigiKey Order'!$H$9*C$5-'DigiKey Order'!$K$9)+'DigiKey Order'!$M$9)*IF('DigiKey Order'!$P$9&lt;&gt;"",'DigiKey Order'!$P$9,LOOKUP((MAX(0,'DigiKey Order'!$F$9*C$4+'DigiKey Order'!$H$9*C$5-'DigiKey Order'!$K$9)+'DigiKey Order'!$M$9),'DigiKey Order'!$U$9:$AB$9,'DigiKey Order'!$AC$9:$AJ$9))*(1+Settings!$B$7))</f>
        <v>70.987499999999997</v>
      </c>
      <c r="D12" s="19">
        <f>IF(OR('DigiKey Order'!$L$9&lt;&gt;"Y",(MAX(0,'DigiKey Order'!$F$9*D$4+'DigiKey Order'!$H$9*D$5-'DigiKey Order'!$K$9)+'DigiKey Order'!$M$9)&lt;=0),0,(MAX(0,'DigiKey Order'!$F$9*D$4+'DigiKey Order'!$H$9*D$5-'DigiKey Order'!$K$9)+'DigiKey Order'!$M$9)*IF('DigiKey Order'!$P$9&lt;&gt;"",'DigiKey Order'!$P$9,LOOKUP((MAX(0,'DigiKey Order'!$F$9*D$4+'DigiKey Order'!$H$9*D$5-'DigiKey Order'!$K$9)+'DigiKey Order'!$M$9),'DigiKey Order'!$U$9:$AB$9,'DigiKey Order'!$AC$9:$AJ$9))*(1+Settings!$B$7))</f>
        <v>70.987499999999997</v>
      </c>
      <c r="E12" s="19">
        <f>IF(OR('DigiKey Order'!$L$9&lt;&gt;"Y",(MAX(0,'DigiKey Order'!$F$9*E$4+'DigiKey Order'!$H$9*E$5-'DigiKey Order'!$K$9)+'DigiKey Order'!$M$9)&lt;=0),0,(MAX(0,'DigiKey Order'!$F$9*E$4+'DigiKey Order'!$H$9*E$5-'DigiKey Order'!$K$9)+'DigiKey Order'!$M$9)*IF('DigiKey Order'!$P$9&lt;&gt;"",'DigiKey Order'!$P$9,LOOKUP((MAX(0,'DigiKey Order'!$F$9*E$4+'DigiKey Order'!$H$9*E$5-'DigiKey Order'!$K$9)+'DigiKey Order'!$M$9),'DigiKey Order'!$U$9:$AB$9,'DigiKey Order'!$AC$9:$AJ$9))*(1+Settings!$B$7))</f>
        <v>70.987499999999997</v>
      </c>
      <c r="F12" s="19">
        <f>IF(OR('DigiKey Order'!$L$9&lt;&gt;"Y",(MAX(0,'DigiKey Order'!$F$9*F$4+'DigiKey Order'!$H$9*F$5-'DigiKey Order'!$K$9)+'DigiKey Order'!$M$9)&lt;=0),0,(MAX(0,'DigiKey Order'!$F$9*F$4+'DigiKey Order'!$H$9*F$5-'DigiKey Order'!$K$9)+'DigiKey Order'!$M$9)*IF('DigiKey Order'!$P$9&lt;&gt;"",'DigiKey Order'!$P$9,LOOKUP((MAX(0,'DigiKey Order'!$F$9*F$4+'DigiKey Order'!$H$9*F$5-'DigiKey Order'!$K$9)+'DigiKey Order'!$M$9),'DigiKey Order'!$U$9:$AB$9,'DigiKey Order'!$AC$9:$AJ$9))*(1+Settings!$B$7))</f>
        <v>70.987499999999997</v>
      </c>
      <c r="G12" s="19">
        <f>IF(OR('DigiKey Order'!$L$9&lt;&gt;"Y",(MAX(0,'DigiKey Order'!$F$9*G$4+'DigiKey Order'!$H$9*G$5-'DigiKey Order'!$K$9)+'DigiKey Order'!$M$9)&lt;=0),0,(MAX(0,'DigiKey Order'!$F$9*G$4+'DigiKey Order'!$H$9*G$5-'DigiKey Order'!$K$9)+'DigiKey Order'!$M$9)*IF('DigiKey Order'!$P$9&lt;&gt;"",'DigiKey Order'!$P$9,LOOKUP((MAX(0,'DigiKey Order'!$F$9*G$4+'DigiKey Order'!$H$9*G$5-'DigiKey Order'!$K$9)+'DigiKey Order'!$M$9),'DigiKey Order'!$U$9:$AB$9,'DigiKey Order'!$AC$9:$AJ$9))*(1+Settings!$B$7))</f>
        <v>141.97499999999999</v>
      </c>
      <c r="H12" s="19">
        <f>IF(OR('DigiKey Order'!$L$9&lt;&gt;"Y",(MAX(0,'DigiKey Order'!$F$9*H$4+'DigiKey Order'!$H$9*H$5-'DigiKey Order'!$K$9)+'DigiKey Order'!$M$9)&lt;=0),0,(MAX(0,'DigiKey Order'!$F$9*H$4+'DigiKey Order'!$H$9*H$5-'DigiKey Order'!$K$9)+'DigiKey Order'!$M$9)*IF('DigiKey Order'!$P$9&lt;&gt;"",'DigiKey Order'!$P$9,LOOKUP((MAX(0,'DigiKey Order'!$F$9*H$4+'DigiKey Order'!$H$9*H$5-'DigiKey Order'!$K$9)+'DigiKey Order'!$M$9),'DigiKey Order'!$U$9:$AB$9,'DigiKey Order'!$AC$9:$AJ$9))*(1+Settings!$B$7))</f>
        <v>141.97499999999999</v>
      </c>
      <c r="I12" s="19">
        <f>IF(OR('DigiKey Order'!$L$9&lt;&gt;"Y",(MAX(0,'DigiKey Order'!$F$9*I$4+'DigiKey Order'!$H$9*I$5-'DigiKey Order'!$K$9)+'DigiKey Order'!$M$9)&lt;=0),0,(MAX(0,'DigiKey Order'!$F$9*I$4+'DigiKey Order'!$H$9*I$5-'DigiKey Order'!$K$9)+'DigiKey Order'!$M$9)*IF('DigiKey Order'!$P$9&lt;&gt;"",'DigiKey Order'!$P$9,LOOKUP((MAX(0,'DigiKey Order'!$F$9*I$4+'DigiKey Order'!$H$9*I$5-'DigiKey Order'!$K$9)+'DigiKey Order'!$M$9),'DigiKey Order'!$U$9:$AB$9,'DigiKey Order'!$AC$9:$AJ$9))*(1+Settings!$B$7))</f>
        <v>141.97499999999999</v>
      </c>
      <c r="J12" s="19">
        <f>IF(OR('DigiKey Order'!$L$9&lt;&gt;"Y",(MAX(0,'DigiKey Order'!$F$9*J$4+'DigiKey Order'!$H$9*J$5-'DigiKey Order'!$K$9)+'DigiKey Order'!$M$9)&lt;=0),0,(MAX(0,'DigiKey Order'!$F$9*J$4+'DigiKey Order'!$H$9*J$5-'DigiKey Order'!$K$9)+'DigiKey Order'!$M$9)*IF('DigiKey Order'!$P$9&lt;&gt;"",'DigiKey Order'!$P$9,LOOKUP((MAX(0,'DigiKey Order'!$F$9*J$4+'DigiKey Order'!$H$9*J$5-'DigiKey Order'!$K$9)+'DigiKey Order'!$M$9),'DigiKey Order'!$U$9:$AB$9,'DigiKey Order'!$AC$9:$AJ$9))*(1+Settings!$B$7))</f>
        <v>141.97499999999999</v>
      </c>
    </row>
    <row r="13" spans="1:10" x14ac:dyDescent="0.25">
      <c r="A13" s="18" t="str">
        <f>'DigiKey Order'!A10</f>
        <v>2073-USB4105-GF-ACT-ND</v>
      </c>
      <c r="B13" s="18" t="str">
        <f>'DigiKey Order'!D10</f>
        <v>CONN RCP USB2.0 TYPE-C 16P SMD RA</v>
      </c>
      <c r="C13" s="19">
        <f>IF(OR('DigiKey Order'!$L$10&lt;&gt;"Y",(MAX(0,'DigiKey Order'!$F$10*C$4+'DigiKey Order'!$H$10*C$5-'DigiKey Order'!$K$10)+'DigiKey Order'!$M$10)&lt;=0),0,(MAX(0,'DigiKey Order'!$F$10*C$4+'DigiKey Order'!$H$10*C$5-'DigiKey Order'!$K$10)+'DigiKey Order'!$M$10)*IF('DigiKey Order'!$P$10&lt;&gt;"",'DigiKey Order'!$P$10,LOOKUP((MAX(0,'DigiKey Order'!$F$10*C$4+'DigiKey Order'!$H$10*C$5-'DigiKey Order'!$K$10)+'DigiKey Order'!$M$10),'DigiKey Order'!$U$10:$AB$10,'DigiKey Order'!$AC$10:$AJ$10))*(1+Settings!$B$7))</f>
        <v>13.100000000000001</v>
      </c>
      <c r="D13" s="19">
        <f>IF(OR('DigiKey Order'!$L$10&lt;&gt;"Y",(MAX(0,'DigiKey Order'!$F$10*D$4+'DigiKey Order'!$H$10*D$5-'DigiKey Order'!$K$10)+'DigiKey Order'!$M$10)&lt;=0),0,(MAX(0,'DigiKey Order'!$F$10*D$4+'DigiKey Order'!$H$10*D$5-'DigiKey Order'!$K$10)+'DigiKey Order'!$M$10)*IF('DigiKey Order'!$P$10&lt;&gt;"",'DigiKey Order'!$P$10,LOOKUP((MAX(0,'DigiKey Order'!$F$10*D$4+'DigiKey Order'!$H$10*D$5-'DigiKey Order'!$K$10)+'DigiKey Order'!$M$10),'DigiKey Order'!$U$10:$AB$10,'DigiKey Order'!$AC$10:$AJ$10))*(1+Settings!$B$7))</f>
        <v>13.100000000000001</v>
      </c>
      <c r="E13" s="19">
        <f>IF(OR('DigiKey Order'!$L$10&lt;&gt;"Y",(MAX(0,'DigiKey Order'!$F$10*E$4+'DigiKey Order'!$H$10*E$5-'DigiKey Order'!$K$10)+'DigiKey Order'!$M$10)&lt;=0),0,(MAX(0,'DigiKey Order'!$F$10*E$4+'DigiKey Order'!$H$10*E$5-'DigiKey Order'!$K$10)+'DigiKey Order'!$M$10)*IF('DigiKey Order'!$P$10&lt;&gt;"",'DigiKey Order'!$P$10,LOOKUP((MAX(0,'DigiKey Order'!$F$10*E$4+'DigiKey Order'!$H$10*E$5-'DigiKey Order'!$K$10)+'DigiKey Order'!$M$10),'DigiKey Order'!$U$10:$AB$10,'DigiKey Order'!$AC$10:$AJ$10))*(1+Settings!$B$7))</f>
        <v>13.100000000000001</v>
      </c>
      <c r="F13" s="19">
        <f>IF(OR('DigiKey Order'!$L$10&lt;&gt;"Y",(MAX(0,'DigiKey Order'!$F$10*F$4+'DigiKey Order'!$H$10*F$5-'DigiKey Order'!$K$10)+'DigiKey Order'!$M$10)&lt;=0),0,(MAX(0,'DigiKey Order'!$F$10*F$4+'DigiKey Order'!$H$10*F$5-'DigiKey Order'!$K$10)+'DigiKey Order'!$M$10)*IF('DigiKey Order'!$P$10&lt;&gt;"",'DigiKey Order'!$P$10,LOOKUP((MAX(0,'DigiKey Order'!$F$10*F$4+'DigiKey Order'!$H$10*F$5-'DigiKey Order'!$K$10)+'DigiKey Order'!$M$10),'DigiKey Order'!$U$10:$AB$10,'DigiKey Order'!$AC$10:$AJ$10))*(1+Settings!$B$7))</f>
        <v>19.650000000000002</v>
      </c>
      <c r="G13" s="19">
        <f>IF(OR('DigiKey Order'!$L$10&lt;&gt;"Y",(MAX(0,'DigiKey Order'!$F$10*G$4+'DigiKey Order'!$H$10*G$5-'DigiKey Order'!$K$10)+'DigiKey Order'!$M$10)&lt;=0),0,(MAX(0,'DigiKey Order'!$F$10*G$4+'DigiKey Order'!$H$10*G$5-'DigiKey Order'!$K$10)+'DigiKey Order'!$M$10)*IF('DigiKey Order'!$P$10&lt;&gt;"",'DigiKey Order'!$P$10,LOOKUP((MAX(0,'DigiKey Order'!$F$10*G$4+'DigiKey Order'!$H$10*G$5-'DigiKey Order'!$K$10)+'DigiKey Order'!$M$10),'DigiKey Order'!$U$10:$AB$10,'DigiKey Order'!$AC$10:$AJ$10))*(1+Settings!$B$7))</f>
        <v>19.650000000000002</v>
      </c>
      <c r="H13" s="19">
        <f>IF(OR('DigiKey Order'!$L$10&lt;&gt;"Y",(MAX(0,'DigiKey Order'!$F$10*H$4+'DigiKey Order'!$H$10*H$5-'DigiKey Order'!$K$10)+'DigiKey Order'!$M$10)&lt;=0),0,(MAX(0,'DigiKey Order'!$F$10*H$4+'DigiKey Order'!$H$10*H$5-'DigiKey Order'!$K$10)+'DigiKey Order'!$M$10)*IF('DigiKey Order'!$P$10&lt;&gt;"",'DigiKey Order'!$P$10,LOOKUP((MAX(0,'DigiKey Order'!$F$10*H$4+'DigiKey Order'!$H$10*H$5-'DigiKey Order'!$K$10)+'DigiKey Order'!$M$10),'DigiKey Order'!$U$10:$AB$10,'DigiKey Order'!$AC$10:$AJ$10))*(1+Settings!$B$7))</f>
        <v>26.200000000000003</v>
      </c>
      <c r="I13" s="19">
        <f>IF(OR('DigiKey Order'!$L$10&lt;&gt;"Y",(MAX(0,'DigiKey Order'!$F$10*I$4+'DigiKey Order'!$H$10*I$5-'DigiKey Order'!$K$10)+'DigiKey Order'!$M$10)&lt;=0),0,(MAX(0,'DigiKey Order'!$F$10*I$4+'DigiKey Order'!$H$10*I$5-'DigiKey Order'!$K$10)+'DigiKey Order'!$M$10)*IF('DigiKey Order'!$P$10&lt;&gt;"",'DigiKey Order'!$P$10,LOOKUP((MAX(0,'DigiKey Order'!$F$10*I$4+'DigiKey Order'!$H$10*I$5-'DigiKey Order'!$K$10)+'DigiKey Order'!$M$10),'DigiKey Order'!$U$10:$AB$10,'DigiKey Order'!$AC$10:$AJ$10))*(1+Settings!$B$7))</f>
        <v>32.75</v>
      </c>
      <c r="J13" s="19">
        <f>IF(OR('DigiKey Order'!$L$10&lt;&gt;"Y",(MAX(0,'DigiKey Order'!$F$10*J$4+'DigiKey Order'!$H$10*J$5-'DigiKey Order'!$K$10)+'DigiKey Order'!$M$10)&lt;=0),0,(MAX(0,'DigiKey Order'!$F$10*J$4+'DigiKey Order'!$H$10*J$5-'DigiKey Order'!$K$10)+'DigiKey Order'!$M$10)*IF('DigiKey Order'!$P$10&lt;&gt;"",'DigiKey Order'!$P$10,LOOKUP((MAX(0,'DigiKey Order'!$F$10*J$4+'DigiKey Order'!$H$10*J$5-'DigiKey Order'!$K$10)+'DigiKey Order'!$M$10),'DigiKey Order'!$U$10:$AB$10,'DigiKey Order'!$AC$10:$AJ$10))*(1+Settings!$B$7))</f>
        <v>39.300000000000004</v>
      </c>
    </row>
    <row r="14" spans="1:10" x14ac:dyDescent="0.25">
      <c r="A14" s="18" t="str">
        <f>'DigiKey Order'!A11</f>
        <v>732-2107-ND</v>
      </c>
      <c r="B14" s="18" t="str">
        <f>'DigiKey Order'!D11</f>
        <v>CONN RCPT USB2.0 TYPE-A STACKED R/A</v>
      </c>
      <c r="C14" s="19">
        <f>IF(OR('DigiKey Order'!$L$11&lt;&gt;"Y",(MAX(0,'DigiKey Order'!$F$11*C$4+'DigiKey Order'!$H$11*C$5-'DigiKey Order'!$K$11)+'DigiKey Order'!$M$11)&lt;=0),0,(MAX(0,'DigiKey Order'!$F$11*C$4+'DigiKey Order'!$H$11*C$5-'DigiKey Order'!$K$11)+'DigiKey Order'!$M$11)*IF('DigiKey Order'!$P$11&lt;&gt;"",'DigiKey Order'!$P$11,LOOKUP((MAX(0,'DigiKey Order'!$F$11*C$4+'DigiKey Order'!$H$11*C$5-'DigiKey Order'!$K$11)+'DigiKey Order'!$M$11),'DigiKey Order'!$U$11:$AB$11,'DigiKey Order'!$AC$11:$AJ$11))*(1+Settings!$B$7))</f>
        <v>32.75</v>
      </c>
      <c r="D14" s="19">
        <f>IF(OR('DigiKey Order'!$L$11&lt;&gt;"Y",(MAX(0,'DigiKey Order'!$F$11*D$4+'DigiKey Order'!$H$11*D$5-'DigiKey Order'!$K$11)+'DigiKey Order'!$M$11)&lt;=0),0,(MAX(0,'DigiKey Order'!$F$11*D$4+'DigiKey Order'!$H$11*D$5-'DigiKey Order'!$K$11)+'DigiKey Order'!$M$11)*IF('DigiKey Order'!$P$11&lt;&gt;"",'DigiKey Order'!$P$11,LOOKUP((MAX(0,'DigiKey Order'!$F$11*D$4+'DigiKey Order'!$H$11*D$5-'DigiKey Order'!$K$11)+'DigiKey Order'!$M$11),'DigiKey Order'!$U$11:$AB$11,'DigiKey Order'!$AC$11:$AJ$11))*(1+Settings!$B$7))</f>
        <v>32.75</v>
      </c>
      <c r="E14" s="19">
        <f>IF(OR('DigiKey Order'!$L$11&lt;&gt;"Y",(MAX(0,'DigiKey Order'!$F$11*E$4+'DigiKey Order'!$H$11*E$5-'DigiKey Order'!$K$11)+'DigiKey Order'!$M$11)&lt;=0),0,(MAX(0,'DigiKey Order'!$F$11*E$4+'DigiKey Order'!$H$11*E$5-'DigiKey Order'!$K$11)+'DigiKey Order'!$M$11)*IF('DigiKey Order'!$P$11&lt;&gt;"",'DigiKey Order'!$P$11,LOOKUP((MAX(0,'DigiKey Order'!$F$11*E$4+'DigiKey Order'!$H$11*E$5-'DigiKey Order'!$K$11)+'DigiKey Order'!$M$11),'DigiKey Order'!$U$11:$AB$11,'DigiKey Order'!$AC$11:$AJ$11))*(1+Settings!$B$7))</f>
        <v>32.75</v>
      </c>
      <c r="F14" s="19">
        <f>IF(OR('DigiKey Order'!$L$11&lt;&gt;"Y",(MAX(0,'DigiKey Order'!$F$11*F$4+'DigiKey Order'!$H$11*F$5-'DigiKey Order'!$K$11)+'DigiKey Order'!$M$11)&lt;=0),0,(MAX(0,'DigiKey Order'!$F$11*F$4+'DigiKey Order'!$H$11*F$5-'DigiKey Order'!$K$11)+'DigiKey Order'!$M$11)*IF('DigiKey Order'!$P$11&lt;&gt;"",'DigiKey Order'!$P$11,LOOKUP((MAX(0,'DigiKey Order'!$F$11*F$4+'DigiKey Order'!$H$11*F$5-'DigiKey Order'!$K$11)+'DigiKey Order'!$M$11),'DigiKey Order'!$U$11:$AB$11,'DigiKey Order'!$AC$11:$AJ$11))*(1+Settings!$B$7))</f>
        <v>32.75</v>
      </c>
      <c r="G14" s="19">
        <f>IF(OR('DigiKey Order'!$L$11&lt;&gt;"Y",(MAX(0,'DigiKey Order'!$F$11*G$4+'DigiKey Order'!$H$11*G$5-'DigiKey Order'!$K$11)+'DigiKey Order'!$M$11)&lt;=0),0,(MAX(0,'DigiKey Order'!$F$11*G$4+'DigiKey Order'!$H$11*G$5-'DigiKey Order'!$K$11)+'DigiKey Order'!$M$11)*IF('DigiKey Order'!$P$11&lt;&gt;"",'DigiKey Order'!$P$11,LOOKUP((MAX(0,'DigiKey Order'!$F$11*G$4+'DigiKey Order'!$H$11*G$5-'DigiKey Order'!$K$11)+'DigiKey Order'!$M$11),'DigiKey Order'!$U$11:$AB$11,'DigiKey Order'!$AC$11:$AJ$11))*(1+Settings!$B$7))</f>
        <v>65.5</v>
      </c>
      <c r="H14" s="19">
        <f>IF(OR('DigiKey Order'!$L$11&lt;&gt;"Y",(MAX(0,'DigiKey Order'!$F$11*H$4+'DigiKey Order'!$H$11*H$5-'DigiKey Order'!$K$11)+'DigiKey Order'!$M$11)&lt;=0),0,(MAX(0,'DigiKey Order'!$F$11*H$4+'DigiKey Order'!$H$11*H$5-'DigiKey Order'!$K$11)+'DigiKey Order'!$M$11)*IF('DigiKey Order'!$P$11&lt;&gt;"",'DigiKey Order'!$P$11,LOOKUP((MAX(0,'DigiKey Order'!$F$11*H$4+'DigiKey Order'!$H$11*H$5-'DigiKey Order'!$K$11)+'DigiKey Order'!$M$11),'DigiKey Order'!$U$11:$AB$11,'DigiKey Order'!$AC$11:$AJ$11))*(1+Settings!$B$7))</f>
        <v>65.5</v>
      </c>
      <c r="I14" s="19">
        <f>IF(OR('DigiKey Order'!$L$11&lt;&gt;"Y",(MAX(0,'DigiKey Order'!$F$11*I$4+'DigiKey Order'!$H$11*I$5-'DigiKey Order'!$K$11)+'DigiKey Order'!$M$11)&lt;=0),0,(MAX(0,'DigiKey Order'!$F$11*I$4+'DigiKey Order'!$H$11*I$5-'DigiKey Order'!$K$11)+'DigiKey Order'!$M$11)*IF('DigiKey Order'!$P$11&lt;&gt;"",'DigiKey Order'!$P$11,LOOKUP((MAX(0,'DigiKey Order'!$F$11*I$4+'DigiKey Order'!$H$11*I$5-'DigiKey Order'!$K$11)+'DigiKey Order'!$M$11),'DigiKey Order'!$U$11:$AB$11,'DigiKey Order'!$AC$11:$AJ$11))*(1+Settings!$B$7))</f>
        <v>65.5</v>
      </c>
      <c r="J14" s="19">
        <f>IF(OR('DigiKey Order'!$L$11&lt;&gt;"Y",(MAX(0,'DigiKey Order'!$F$11*J$4+'DigiKey Order'!$H$11*J$5-'DigiKey Order'!$K$11)+'DigiKey Order'!$M$11)&lt;=0),0,(MAX(0,'DigiKey Order'!$F$11*J$4+'DigiKey Order'!$H$11*J$5-'DigiKey Order'!$K$11)+'DigiKey Order'!$M$11)*IF('DigiKey Order'!$P$11&lt;&gt;"",'DigiKey Order'!$P$11,LOOKUP((MAX(0,'DigiKey Order'!$F$11*J$4+'DigiKey Order'!$H$11*J$5-'DigiKey Order'!$K$11)+'DigiKey Order'!$M$11),'DigiKey Order'!$U$11:$AB$11,'DigiKey Order'!$AC$11:$AJ$11))*(1+Settings!$B$7))</f>
        <v>65.5</v>
      </c>
    </row>
    <row r="15" spans="1:10" x14ac:dyDescent="0.25">
      <c r="A15" s="18" t="str">
        <f>'DigiKey Order'!A12</f>
        <v>732-5317-ND</v>
      </c>
      <c r="B15" s="18" t="str">
        <f>'DigiKey Order'!D12</f>
        <v>CONN HEADER VERT 4POS 2.54MM</v>
      </c>
      <c r="C15" s="19">
        <f>IF(OR('DigiKey Order'!$L$12&lt;&gt;"Y",(MAX(0,'DigiKey Order'!$F$12*C$4+'DigiKey Order'!$H$12*C$5-'DigiKey Order'!$K$12)+'DigiKey Order'!$M$12)&lt;=0),0,(MAX(0,'DigiKey Order'!$F$12*C$4+'DigiKey Order'!$H$12*C$5-'DigiKey Order'!$K$12)+'DigiKey Order'!$M$12)*IF('DigiKey Order'!$P$12&lt;&gt;"",'DigiKey Order'!$P$12,LOOKUP((MAX(0,'DigiKey Order'!$F$12*C$4+'DigiKey Order'!$H$12*C$5-'DigiKey Order'!$K$12)+'DigiKey Order'!$M$12),'DigiKey Order'!$U$12:$AB$12,'DigiKey Order'!$AC$12:$AJ$12))*(1+Settings!$B$7))</f>
        <v>0</v>
      </c>
      <c r="D15" s="19">
        <f>IF(OR('DigiKey Order'!$L$12&lt;&gt;"Y",(MAX(0,'DigiKey Order'!$F$12*D$4+'DigiKey Order'!$H$12*D$5-'DigiKey Order'!$K$12)+'DigiKey Order'!$M$12)&lt;=0),0,(MAX(0,'DigiKey Order'!$F$12*D$4+'DigiKey Order'!$H$12*D$5-'DigiKey Order'!$K$12)+'DigiKey Order'!$M$12)*IF('DigiKey Order'!$P$12&lt;&gt;"",'DigiKey Order'!$P$12,LOOKUP((MAX(0,'DigiKey Order'!$F$12*D$4+'DigiKey Order'!$H$12*D$5-'DigiKey Order'!$K$12)+'DigiKey Order'!$M$12),'DigiKey Order'!$U$12:$AB$12,'DigiKey Order'!$AC$12:$AJ$12))*(1+Settings!$B$7))</f>
        <v>0</v>
      </c>
      <c r="E15" s="19">
        <f>IF(OR('DigiKey Order'!$L$12&lt;&gt;"Y",(MAX(0,'DigiKey Order'!$F$12*E$4+'DigiKey Order'!$H$12*E$5-'DigiKey Order'!$K$12)+'DigiKey Order'!$M$12)&lt;=0),0,(MAX(0,'DigiKey Order'!$F$12*E$4+'DigiKey Order'!$H$12*E$5-'DigiKey Order'!$K$12)+'DigiKey Order'!$M$12)*IF('DigiKey Order'!$P$12&lt;&gt;"",'DigiKey Order'!$P$12,LOOKUP((MAX(0,'DigiKey Order'!$F$12*E$4+'DigiKey Order'!$H$12*E$5-'DigiKey Order'!$K$12)+'DigiKey Order'!$M$12),'DigiKey Order'!$U$12:$AB$12,'DigiKey Order'!$AC$12:$AJ$12))*(1+Settings!$B$7))</f>
        <v>0</v>
      </c>
      <c r="F15" s="19">
        <f>IF(OR('DigiKey Order'!$L$12&lt;&gt;"Y",(MAX(0,'DigiKey Order'!$F$12*F$4+'DigiKey Order'!$H$12*F$5-'DigiKey Order'!$K$12)+'DigiKey Order'!$M$12)&lt;=0),0,(MAX(0,'DigiKey Order'!$F$12*F$4+'DigiKey Order'!$H$12*F$5-'DigiKey Order'!$K$12)+'DigiKey Order'!$M$12)*IF('DigiKey Order'!$P$12&lt;&gt;"",'DigiKey Order'!$P$12,LOOKUP((MAX(0,'DigiKey Order'!$F$12*F$4+'DigiKey Order'!$H$12*F$5-'DigiKey Order'!$K$12)+'DigiKey Order'!$M$12),'DigiKey Order'!$U$12:$AB$12,'DigiKey Order'!$AC$12:$AJ$12))*(1+Settings!$B$7))</f>
        <v>0</v>
      </c>
      <c r="G15" s="19">
        <f>IF(OR('DigiKey Order'!$L$12&lt;&gt;"Y",(MAX(0,'DigiKey Order'!$F$12*G$4+'DigiKey Order'!$H$12*G$5-'DigiKey Order'!$K$12)+'DigiKey Order'!$M$12)&lt;=0),0,(MAX(0,'DigiKey Order'!$F$12*G$4+'DigiKey Order'!$H$12*G$5-'DigiKey Order'!$K$12)+'DigiKey Order'!$M$12)*IF('DigiKey Order'!$P$12&lt;&gt;"",'DigiKey Order'!$P$12,LOOKUP((MAX(0,'DigiKey Order'!$F$12*G$4+'DigiKey Order'!$H$12*G$5-'DigiKey Order'!$K$12)+'DigiKey Order'!$M$12),'DigiKey Order'!$U$12:$AB$12,'DigiKey Order'!$AC$12:$AJ$12))*(1+Settings!$B$7))</f>
        <v>0</v>
      </c>
      <c r="H15" s="19">
        <f>IF(OR('DigiKey Order'!$L$12&lt;&gt;"Y",(MAX(0,'DigiKey Order'!$F$12*H$4+'DigiKey Order'!$H$12*H$5-'DigiKey Order'!$K$12)+'DigiKey Order'!$M$12)&lt;=0),0,(MAX(0,'DigiKey Order'!$F$12*H$4+'DigiKey Order'!$H$12*H$5-'DigiKey Order'!$K$12)+'DigiKey Order'!$M$12)*IF('DigiKey Order'!$P$12&lt;&gt;"",'DigiKey Order'!$P$12,LOOKUP((MAX(0,'DigiKey Order'!$F$12*H$4+'DigiKey Order'!$H$12*H$5-'DigiKey Order'!$K$12)+'DigiKey Order'!$M$12),'DigiKey Order'!$U$12:$AB$12,'DigiKey Order'!$AC$12:$AJ$12))*(1+Settings!$B$7))</f>
        <v>0</v>
      </c>
      <c r="I15" s="19">
        <f>IF(OR('DigiKey Order'!$L$12&lt;&gt;"Y",(MAX(0,'DigiKey Order'!$F$12*I$4+'DigiKey Order'!$H$12*I$5-'DigiKey Order'!$K$12)+'DigiKey Order'!$M$12)&lt;=0),0,(MAX(0,'DigiKey Order'!$F$12*I$4+'DigiKey Order'!$H$12*I$5-'DigiKey Order'!$K$12)+'DigiKey Order'!$M$12)*IF('DigiKey Order'!$P$12&lt;&gt;"",'DigiKey Order'!$P$12,LOOKUP((MAX(0,'DigiKey Order'!$F$12*I$4+'DigiKey Order'!$H$12*I$5-'DigiKey Order'!$K$12)+'DigiKey Order'!$M$12),'DigiKey Order'!$U$12:$AB$12,'DigiKey Order'!$AC$12:$AJ$12))*(1+Settings!$B$7))</f>
        <v>0</v>
      </c>
      <c r="J15" s="19">
        <f>IF(OR('DigiKey Order'!$L$12&lt;&gt;"Y",(MAX(0,'DigiKey Order'!$F$12*J$4+'DigiKey Order'!$H$12*J$5-'DigiKey Order'!$K$12)+'DigiKey Order'!$M$12)&lt;=0),0,(MAX(0,'DigiKey Order'!$F$12*J$4+'DigiKey Order'!$H$12*J$5-'DigiKey Order'!$K$12)+'DigiKey Order'!$M$12)*IF('DigiKey Order'!$P$12&lt;&gt;"",'DigiKey Order'!$P$12,LOOKUP((MAX(0,'DigiKey Order'!$F$12*J$4+'DigiKey Order'!$H$12*J$5-'DigiKey Order'!$K$12)+'DigiKey Order'!$M$12),'DigiKey Order'!$U$12:$AB$12,'DigiKey Order'!$AC$12:$AJ$12))*(1+Settings!$B$7))</f>
        <v>0</v>
      </c>
    </row>
    <row r="16" spans="1:10" x14ac:dyDescent="0.25">
      <c r="A16" s="18" t="str">
        <f>'DigiKey Order'!A13</f>
        <v>296-43875-1-ND</v>
      </c>
      <c r="B16" s="18" t="str">
        <f>'DigiKey Order'!D13</f>
        <v>TVS DIODE 3.6VWM 8.8VC 10USON</v>
      </c>
      <c r="C16" s="19">
        <f>IF(OR('DigiKey Order'!$L$13&lt;&gt;"Y",(MAX(0,'DigiKey Order'!$F$13*C$4+'DigiKey Order'!$H$13*C$5-'DigiKey Order'!$K$13)+'DigiKey Order'!$M$13)&lt;=0),0,(MAX(0,'DigiKey Order'!$F$13*C$4+'DigiKey Order'!$H$13*C$5-'DigiKey Order'!$K$13)+'DigiKey Order'!$M$13)*IF('DigiKey Order'!$P$13&lt;&gt;"",'DigiKey Order'!$P$13,LOOKUP((MAX(0,'DigiKey Order'!$F$13*C$4+'DigiKey Order'!$H$13*C$5-'DigiKey Order'!$K$13)+'DigiKey Order'!$M$13),'DigiKey Order'!$U$13:$AB$13,'DigiKey Order'!$AC$13:$AJ$13))*(1+Settings!$B$7))</f>
        <v>62.5075</v>
      </c>
      <c r="D16" s="19">
        <f>IF(OR('DigiKey Order'!$L$13&lt;&gt;"Y",(MAX(0,'DigiKey Order'!$F$13*D$4+'DigiKey Order'!$H$13*D$5-'DigiKey Order'!$K$13)+'DigiKey Order'!$M$13)&lt;=0),0,(MAX(0,'DigiKey Order'!$F$13*D$4+'DigiKey Order'!$H$13*D$5-'DigiKey Order'!$K$13)+'DigiKey Order'!$M$13)*IF('DigiKey Order'!$P$13&lt;&gt;"",'DigiKey Order'!$P$13,LOOKUP((MAX(0,'DigiKey Order'!$F$13*D$4+'DigiKey Order'!$H$13*D$5-'DigiKey Order'!$K$13)+'DigiKey Order'!$M$13),'DigiKey Order'!$U$13:$AB$13,'DigiKey Order'!$AC$13:$AJ$13))*(1+Settings!$B$7))</f>
        <v>62.5075</v>
      </c>
      <c r="E16" s="19">
        <f>IF(OR('DigiKey Order'!$L$13&lt;&gt;"Y",(MAX(0,'DigiKey Order'!$F$13*E$4+'DigiKey Order'!$H$13*E$5-'DigiKey Order'!$K$13)+'DigiKey Order'!$M$13)&lt;=0),0,(MAX(0,'DigiKey Order'!$F$13*E$4+'DigiKey Order'!$H$13*E$5-'DigiKey Order'!$K$13)+'DigiKey Order'!$M$13)*IF('DigiKey Order'!$P$13&lt;&gt;"",'DigiKey Order'!$P$13,LOOKUP((MAX(0,'DigiKey Order'!$F$13*E$4+'DigiKey Order'!$H$13*E$5-'DigiKey Order'!$K$13)+'DigiKey Order'!$M$13),'DigiKey Order'!$U$13:$AB$13,'DigiKey Order'!$AC$13:$AJ$13))*(1+Settings!$B$7))</f>
        <v>62.5075</v>
      </c>
      <c r="F16" s="19">
        <f>IF(OR('DigiKey Order'!$L$13&lt;&gt;"Y",(MAX(0,'DigiKey Order'!$F$13*F$4+'DigiKey Order'!$H$13*F$5-'DigiKey Order'!$K$13)+'DigiKey Order'!$M$13)&lt;=0),0,(MAX(0,'DigiKey Order'!$F$13*F$4+'DigiKey Order'!$H$13*F$5-'DigiKey Order'!$K$13)+'DigiKey Order'!$M$13)*IF('DigiKey Order'!$P$13&lt;&gt;"",'DigiKey Order'!$P$13,LOOKUP((MAX(0,'DigiKey Order'!$F$13*F$4+'DigiKey Order'!$H$13*F$5-'DigiKey Order'!$K$13)+'DigiKey Order'!$M$13),'DigiKey Order'!$U$13:$AB$13,'DigiKey Order'!$AC$13:$AJ$13))*(1+Settings!$B$7))</f>
        <v>62.5075</v>
      </c>
      <c r="G16" s="19">
        <f>IF(OR('DigiKey Order'!$L$13&lt;&gt;"Y",(MAX(0,'DigiKey Order'!$F$13*G$4+'DigiKey Order'!$H$13*G$5-'DigiKey Order'!$K$13)+'DigiKey Order'!$M$13)&lt;=0),0,(MAX(0,'DigiKey Order'!$F$13*G$4+'DigiKey Order'!$H$13*G$5-'DigiKey Order'!$K$13)+'DigiKey Order'!$M$13)*IF('DigiKey Order'!$P$13&lt;&gt;"",'DigiKey Order'!$P$13,LOOKUP((MAX(0,'DigiKey Order'!$F$13*G$4+'DigiKey Order'!$H$13*G$5-'DigiKey Order'!$K$13)+'DigiKey Order'!$M$13),'DigiKey Order'!$U$13:$AB$13,'DigiKey Order'!$AC$13:$AJ$13))*(1+Settings!$B$7))</f>
        <v>113.65</v>
      </c>
      <c r="H16" s="19">
        <f>IF(OR('DigiKey Order'!$L$13&lt;&gt;"Y",(MAX(0,'DigiKey Order'!$F$13*H$4+'DigiKey Order'!$H$13*H$5-'DigiKey Order'!$K$13)+'DigiKey Order'!$M$13)&lt;=0),0,(MAX(0,'DigiKey Order'!$F$13*H$4+'DigiKey Order'!$H$13*H$5-'DigiKey Order'!$K$13)+'DigiKey Order'!$M$13)*IF('DigiKey Order'!$P$13&lt;&gt;"",'DigiKey Order'!$P$13,LOOKUP((MAX(0,'DigiKey Order'!$F$13*H$4+'DigiKey Order'!$H$13*H$5-'DigiKey Order'!$K$13)+'DigiKey Order'!$M$13),'DigiKey Order'!$U$13:$AB$13,'DigiKey Order'!$AC$13:$AJ$13))*(1+Settings!$B$7))</f>
        <v>113.65</v>
      </c>
      <c r="I16" s="19">
        <f>IF(OR('DigiKey Order'!$L$13&lt;&gt;"Y",(MAX(0,'DigiKey Order'!$F$13*I$4+'DigiKey Order'!$H$13*I$5-'DigiKey Order'!$K$13)+'DigiKey Order'!$M$13)&lt;=0),0,(MAX(0,'DigiKey Order'!$F$13*I$4+'DigiKey Order'!$H$13*I$5-'DigiKey Order'!$K$13)+'DigiKey Order'!$M$13)*IF('DigiKey Order'!$P$13&lt;&gt;"",'DigiKey Order'!$P$13,LOOKUP((MAX(0,'DigiKey Order'!$F$13*I$4+'DigiKey Order'!$H$13*I$5-'DigiKey Order'!$K$13)+'DigiKey Order'!$M$13),'DigiKey Order'!$U$13:$AB$13,'DigiKey Order'!$AC$13:$AJ$13))*(1+Settings!$B$7))</f>
        <v>113.65</v>
      </c>
      <c r="J16" s="19">
        <f>IF(OR('DigiKey Order'!$L$13&lt;&gt;"Y",(MAX(0,'DigiKey Order'!$F$13*J$4+'DigiKey Order'!$H$13*J$5-'DigiKey Order'!$K$13)+'DigiKey Order'!$M$13)&lt;=0),0,(MAX(0,'DigiKey Order'!$F$13*J$4+'DigiKey Order'!$H$13*J$5-'DigiKey Order'!$K$13)+'DigiKey Order'!$M$13)*IF('DigiKey Order'!$P$13&lt;&gt;"",'DigiKey Order'!$P$13,LOOKUP((MAX(0,'DigiKey Order'!$F$13*J$4+'DigiKey Order'!$H$13*J$5-'DigiKey Order'!$K$13)+'DigiKey Order'!$M$13),'DigiKey Order'!$U$13:$AB$13,'DigiKey Order'!$AC$13:$AJ$13))*(1+Settings!$B$7))</f>
        <v>113.65</v>
      </c>
    </row>
    <row r="17" spans="1:10" x14ac:dyDescent="0.25">
      <c r="A17" s="18" t="str">
        <f>'DigiKey Order'!A14</f>
        <v>296-42335-1-ND</v>
      </c>
      <c r="B17" s="18" t="str">
        <f>'DigiKey Order'!D14</f>
        <v>IC DISPLAYPORT 2:1 DIFF SW 56QFN</v>
      </c>
      <c r="C17" s="19">
        <f>IF(OR('DigiKey Order'!$L$14&lt;&gt;"Y",(MAX(0,'DigiKey Order'!$F$14*C$4+'DigiKey Order'!$H$14*C$5-'DigiKey Order'!$K$14)+'DigiKey Order'!$M$14)&lt;=0),0,(MAX(0,'DigiKey Order'!$F$14*C$4+'DigiKey Order'!$H$14*C$5-'DigiKey Order'!$K$14)+'DigiKey Order'!$M$14)*IF('DigiKey Order'!$P$14&lt;&gt;"",'DigiKey Order'!$P$14,LOOKUP((MAX(0,'DigiKey Order'!$F$14*C$4+'DigiKey Order'!$H$14*C$5-'DigiKey Order'!$K$14)+'DigiKey Order'!$M$14),'DigiKey Order'!$U$14:$AB$14,'DigiKey Order'!$AC$14:$AJ$14))*(1+Settings!$B$7))</f>
        <v>38.4</v>
      </c>
      <c r="D17" s="19">
        <f>IF(OR('DigiKey Order'!$L$14&lt;&gt;"Y",(MAX(0,'DigiKey Order'!$F$14*D$4+'DigiKey Order'!$H$14*D$5-'DigiKey Order'!$K$14)+'DigiKey Order'!$M$14)&lt;=0),0,(MAX(0,'DigiKey Order'!$F$14*D$4+'DigiKey Order'!$H$14*D$5-'DigiKey Order'!$K$14)+'DigiKey Order'!$M$14)*IF('DigiKey Order'!$P$14&lt;&gt;"",'DigiKey Order'!$P$14,LOOKUP((MAX(0,'DigiKey Order'!$F$14*D$4+'DigiKey Order'!$H$14*D$5-'DigiKey Order'!$K$14)+'DigiKey Order'!$M$14),'DigiKey Order'!$U$14:$AB$14,'DigiKey Order'!$AC$14:$AJ$14))*(1+Settings!$B$7))</f>
        <v>38.4</v>
      </c>
      <c r="E17" s="19">
        <f>IF(OR('DigiKey Order'!$L$14&lt;&gt;"Y",(MAX(0,'DigiKey Order'!$F$14*E$4+'DigiKey Order'!$H$14*E$5-'DigiKey Order'!$K$14)+'DigiKey Order'!$M$14)&lt;=0),0,(MAX(0,'DigiKey Order'!$F$14*E$4+'DigiKey Order'!$H$14*E$5-'DigiKey Order'!$K$14)+'DigiKey Order'!$M$14)*IF('DigiKey Order'!$P$14&lt;&gt;"",'DigiKey Order'!$P$14,LOOKUP((MAX(0,'DigiKey Order'!$F$14*E$4+'DigiKey Order'!$H$14*E$5-'DigiKey Order'!$K$14)+'DigiKey Order'!$M$14),'DigiKey Order'!$U$14:$AB$14,'DigiKey Order'!$AC$14:$AJ$14))*(1+Settings!$B$7))</f>
        <v>38.4</v>
      </c>
      <c r="F17" s="19">
        <f>IF(OR('DigiKey Order'!$L$14&lt;&gt;"Y",(MAX(0,'DigiKey Order'!$F$14*F$4+'DigiKey Order'!$H$14*F$5-'DigiKey Order'!$K$14)+'DigiKey Order'!$M$14)&lt;=0),0,(MAX(0,'DigiKey Order'!$F$14*F$4+'DigiKey Order'!$H$14*F$5-'DigiKey Order'!$K$14)+'DigiKey Order'!$M$14)*IF('DigiKey Order'!$P$14&lt;&gt;"",'DigiKey Order'!$P$14,LOOKUP((MAX(0,'DigiKey Order'!$F$14*F$4+'DigiKey Order'!$H$14*F$5-'DigiKey Order'!$K$14)+'DigiKey Order'!$M$14),'DigiKey Order'!$U$14:$AB$14,'DigiKey Order'!$AC$14:$AJ$14))*(1+Settings!$B$7))</f>
        <v>38.4</v>
      </c>
      <c r="G17" s="19">
        <f>IF(OR('DigiKey Order'!$L$14&lt;&gt;"Y",(MAX(0,'DigiKey Order'!$F$14*G$4+'DigiKey Order'!$H$14*G$5-'DigiKey Order'!$K$14)+'DigiKey Order'!$M$14)&lt;=0),0,(MAX(0,'DigiKey Order'!$F$14*G$4+'DigiKey Order'!$H$14*G$5-'DigiKey Order'!$K$14)+'DigiKey Order'!$M$14)*IF('DigiKey Order'!$P$14&lt;&gt;"",'DigiKey Order'!$P$14,LOOKUP((MAX(0,'DigiKey Order'!$F$14*G$4+'DigiKey Order'!$H$14*G$5-'DigiKey Order'!$K$14)+'DigiKey Order'!$M$14),'DigiKey Order'!$U$14:$AB$14,'DigiKey Order'!$AC$14:$AJ$14))*(1+Settings!$B$7))</f>
        <v>76.8</v>
      </c>
      <c r="H17" s="19">
        <f>IF(OR('DigiKey Order'!$L$14&lt;&gt;"Y",(MAX(0,'DigiKey Order'!$F$14*H$4+'DigiKey Order'!$H$14*H$5-'DigiKey Order'!$K$14)+'DigiKey Order'!$M$14)&lt;=0),0,(MAX(0,'DigiKey Order'!$F$14*H$4+'DigiKey Order'!$H$14*H$5-'DigiKey Order'!$K$14)+'DigiKey Order'!$M$14)*IF('DigiKey Order'!$P$14&lt;&gt;"",'DigiKey Order'!$P$14,LOOKUP((MAX(0,'DigiKey Order'!$F$14*H$4+'DigiKey Order'!$H$14*H$5-'DigiKey Order'!$K$14)+'DigiKey Order'!$M$14),'DigiKey Order'!$U$14:$AB$14,'DigiKey Order'!$AC$14:$AJ$14))*(1+Settings!$B$7))</f>
        <v>76.8</v>
      </c>
      <c r="I17" s="19">
        <f>IF(OR('DigiKey Order'!$L$14&lt;&gt;"Y",(MAX(0,'DigiKey Order'!$F$14*I$4+'DigiKey Order'!$H$14*I$5-'DigiKey Order'!$K$14)+'DigiKey Order'!$M$14)&lt;=0),0,(MAX(0,'DigiKey Order'!$F$14*I$4+'DigiKey Order'!$H$14*I$5-'DigiKey Order'!$K$14)+'DigiKey Order'!$M$14)*IF('DigiKey Order'!$P$14&lt;&gt;"",'DigiKey Order'!$P$14,LOOKUP((MAX(0,'DigiKey Order'!$F$14*I$4+'DigiKey Order'!$H$14*I$5-'DigiKey Order'!$K$14)+'DigiKey Order'!$M$14),'DigiKey Order'!$U$14:$AB$14,'DigiKey Order'!$AC$14:$AJ$14))*(1+Settings!$B$7))</f>
        <v>76.8</v>
      </c>
      <c r="J17" s="19">
        <f>IF(OR('DigiKey Order'!$L$14&lt;&gt;"Y",(MAX(0,'DigiKey Order'!$F$14*J$4+'DigiKey Order'!$H$14*J$5-'DigiKey Order'!$K$14)+'DigiKey Order'!$M$14)&lt;=0),0,(MAX(0,'DigiKey Order'!$F$14*J$4+'DigiKey Order'!$H$14*J$5-'DigiKey Order'!$K$14)+'DigiKey Order'!$M$14)*IF('DigiKey Order'!$P$14&lt;&gt;"",'DigiKey Order'!$P$14,LOOKUP((MAX(0,'DigiKey Order'!$F$14*J$4+'DigiKey Order'!$H$14*J$5-'DigiKey Order'!$K$14)+'DigiKey Order'!$M$14),'DigiKey Order'!$U$14:$AB$14,'DigiKey Order'!$AC$14:$AJ$14))*(1+Settings!$B$7))</f>
        <v>76.8</v>
      </c>
    </row>
    <row r="18" spans="1:10" x14ac:dyDescent="0.25">
      <c r="A18" s="18" t="str">
        <f>'DigiKey Order'!A15</f>
        <v>296-50411-1-ND</v>
      </c>
      <c r="B18" s="18" t="str">
        <f>'DigiKey Order'!D15</f>
        <v>IC REG LINEAR 3.3V 500MA SOT23-5</v>
      </c>
      <c r="C18" s="19">
        <f>IF(OR('DigiKey Order'!$L$15&lt;&gt;"Y",(MAX(0,'DigiKey Order'!$F$15*C$4+'DigiKey Order'!$H$15*C$5-'DigiKey Order'!$K$15)+'DigiKey Order'!$M$15)&lt;=0),0,(MAX(0,'DigiKey Order'!$F$15*C$4+'DigiKey Order'!$H$15*C$5-'DigiKey Order'!$K$15)+'DigiKey Order'!$M$15)*IF('DigiKey Order'!$P$15&lt;&gt;"",'DigiKey Order'!$P$15,LOOKUP((MAX(0,'DigiKey Order'!$F$15*C$4+'DigiKey Order'!$H$15*C$5-'DigiKey Order'!$K$15)+'DigiKey Order'!$M$15),'DigiKey Order'!$U$15:$AB$15,'DigiKey Order'!$AC$15:$AJ$15))*(1+Settings!$B$7))</f>
        <v>30.9375</v>
      </c>
      <c r="D18" s="19">
        <f>IF(OR('DigiKey Order'!$L$15&lt;&gt;"Y",(MAX(0,'DigiKey Order'!$F$15*D$4+'DigiKey Order'!$H$15*D$5-'DigiKey Order'!$K$15)+'DigiKey Order'!$M$15)&lt;=0),0,(MAX(0,'DigiKey Order'!$F$15*D$4+'DigiKey Order'!$H$15*D$5-'DigiKey Order'!$K$15)+'DigiKey Order'!$M$15)*IF('DigiKey Order'!$P$15&lt;&gt;"",'DigiKey Order'!$P$15,LOOKUP((MAX(0,'DigiKey Order'!$F$15*D$4+'DigiKey Order'!$H$15*D$5-'DigiKey Order'!$K$15)+'DigiKey Order'!$M$15),'DigiKey Order'!$U$15:$AB$15,'DigiKey Order'!$AC$15:$AJ$15))*(1+Settings!$B$7))</f>
        <v>23.987500000000001</v>
      </c>
      <c r="E18" s="19">
        <f>IF(OR('DigiKey Order'!$L$15&lt;&gt;"Y",(MAX(0,'DigiKey Order'!$F$15*E$4+'DigiKey Order'!$H$15*E$5-'DigiKey Order'!$K$15)+'DigiKey Order'!$M$15)&lt;=0),0,(MAX(0,'DigiKey Order'!$F$15*E$4+'DigiKey Order'!$H$15*E$5-'DigiKey Order'!$K$15)+'DigiKey Order'!$M$15)*IF('DigiKey Order'!$P$15&lt;&gt;"",'DigiKey Order'!$P$15,LOOKUP((MAX(0,'DigiKey Order'!$F$15*E$4+'DigiKey Order'!$H$15*E$5-'DigiKey Order'!$K$15)+'DigiKey Order'!$M$15),'DigiKey Order'!$U$15:$AB$15,'DigiKey Order'!$AC$15:$AJ$15))*(1+Settings!$B$7))</f>
        <v>26.386250000000004</v>
      </c>
      <c r="F18" s="19">
        <f>IF(OR('DigiKey Order'!$L$15&lt;&gt;"Y",(MAX(0,'DigiKey Order'!$F$15*F$4+'DigiKey Order'!$H$15*F$5-'DigiKey Order'!$K$15)+'DigiKey Order'!$M$15)&lt;=0),0,(MAX(0,'DigiKey Order'!$F$15*F$4+'DigiKey Order'!$H$15*F$5-'DigiKey Order'!$K$15)+'DigiKey Order'!$M$15)*IF('DigiKey Order'!$P$15&lt;&gt;"",'DigiKey Order'!$P$15,LOOKUP((MAX(0,'DigiKey Order'!$F$15*F$4+'DigiKey Order'!$H$15*F$5-'DigiKey Order'!$K$15)+'DigiKey Order'!$M$15),'DigiKey Order'!$U$15:$AB$15,'DigiKey Order'!$AC$15:$AJ$15))*(1+Settings!$B$7))</f>
        <v>28.784999999999997</v>
      </c>
      <c r="G18" s="19">
        <f>IF(OR('DigiKey Order'!$L$15&lt;&gt;"Y",(MAX(0,'DigiKey Order'!$F$15*G$4+'DigiKey Order'!$H$15*G$5-'DigiKey Order'!$K$15)+'DigiKey Order'!$M$15)&lt;=0),0,(MAX(0,'DigiKey Order'!$F$15*G$4+'DigiKey Order'!$H$15*G$5-'DigiKey Order'!$K$15)+'DigiKey Order'!$M$15)*IF('DigiKey Order'!$P$15&lt;&gt;"",'DigiKey Order'!$P$15,LOOKUP((MAX(0,'DigiKey Order'!$F$15*G$4+'DigiKey Order'!$H$15*G$5-'DigiKey Order'!$K$15)+'DigiKey Order'!$M$15),'DigiKey Order'!$U$15:$AB$15,'DigiKey Order'!$AC$15:$AJ$15))*(1+Settings!$B$7))</f>
        <v>23.987500000000001</v>
      </c>
      <c r="H18" s="19">
        <f>IF(OR('DigiKey Order'!$L$15&lt;&gt;"Y",(MAX(0,'DigiKey Order'!$F$15*H$4+'DigiKey Order'!$H$15*H$5-'DigiKey Order'!$K$15)+'DigiKey Order'!$M$15)&lt;=0),0,(MAX(0,'DigiKey Order'!$F$15*H$4+'DigiKey Order'!$H$15*H$5-'DigiKey Order'!$K$15)+'DigiKey Order'!$M$15)*IF('DigiKey Order'!$P$15&lt;&gt;"",'DigiKey Order'!$P$15,LOOKUP((MAX(0,'DigiKey Order'!$F$15*H$4+'DigiKey Order'!$H$15*H$5-'DigiKey Order'!$K$15)+'DigiKey Order'!$M$15),'DigiKey Order'!$U$15:$AB$15,'DigiKey Order'!$AC$15:$AJ$15))*(1+Settings!$B$7))</f>
        <v>26.386250000000004</v>
      </c>
      <c r="I18" s="19">
        <f>IF(OR('DigiKey Order'!$L$15&lt;&gt;"Y",(MAX(0,'DigiKey Order'!$F$15*I$4+'DigiKey Order'!$H$15*I$5-'DigiKey Order'!$K$15)+'DigiKey Order'!$M$15)&lt;=0),0,(MAX(0,'DigiKey Order'!$F$15*I$4+'DigiKey Order'!$H$15*I$5-'DigiKey Order'!$K$15)+'DigiKey Order'!$M$15)*IF('DigiKey Order'!$P$15&lt;&gt;"",'DigiKey Order'!$P$15,LOOKUP((MAX(0,'DigiKey Order'!$F$15*I$4+'DigiKey Order'!$H$15*I$5-'DigiKey Order'!$K$15)+'DigiKey Order'!$M$15),'DigiKey Order'!$U$15:$AB$15,'DigiKey Order'!$AC$15:$AJ$15))*(1+Settings!$B$7))</f>
        <v>28.784999999999997</v>
      </c>
      <c r="J18" s="19">
        <f>IF(OR('DigiKey Order'!$L$15&lt;&gt;"Y",(MAX(0,'DigiKey Order'!$F$15*J$4+'DigiKey Order'!$H$15*J$5-'DigiKey Order'!$K$15)+'DigiKey Order'!$M$15)&lt;=0),0,(MAX(0,'DigiKey Order'!$F$15*J$4+'DigiKey Order'!$H$15*J$5-'DigiKey Order'!$K$15)+'DigiKey Order'!$M$15)*IF('DigiKey Order'!$P$15&lt;&gt;"",'DigiKey Order'!$P$15,LOOKUP((MAX(0,'DigiKey Order'!$F$15*J$4+'DigiKey Order'!$H$15*J$5-'DigiKey Order'!$K$15)+'DigiKey Order'!$M$15),'DigiKey Order'!$U$15:$AB$15,'DigiKey Order'!$AC$15:$AJ$15))*(1+Settings!$B$7))</f>
        <v>31.18375</v>
      </c>
    </row>
    <row r="19" spans="1:10" x14ac:dyDescent="0.25">
      <c r="A19" s="18" t="str">
        <f>'DigiKey Order'!A16</f>
        <v>497-STM32C031G6U6-ND</v>
      </c>
      <c r="B19" s="18" t="str">
        <f>'DigiKey Order'!D16</f>
        <v>IC MCU 32BIT 32KB FLASH 28UFQFPN</v>
      </c>
      <c r="C19" s="19">
        <f>IF(OR('DigiKey Order'!$L$16&lt;&gt;"Y",(MAX(0,'DigiKey Order'!$F$16*C$4+'DigiKey Order'!$H$16*C$5-'DigiKey Order'!$K$16)+'DigiKey Order'!$M$16)&lt;=0),0,(MAX(0,'DigiKey Order'!$F$16*C$4+'DigiKey Order'!$H$16*C$5-'DigiKey Order'!$K$16)+'DigiKey Order'!$M$16)*IF('DigiKey Order'!$P$16&lt;&gt;"",'DigiKey Order'!$P$16,LOOKUP((MAX(0,'DigiKey Order'!$F$16*C$4+'DigiKey Order'!$H$16*C$5-'DigiKey Order'!$K$16)+'DigiKey Order'!$M$16),'DigiKey Order'!$U$16:$AB$16,'DigiKey Order'!$AC$16:$AJ$16))*(1+Settings!$B$7))</f>
        <v>22.925000000000001</v>
      </c>
      <c r="D19" s="19">
        <f>IF(OR('DigiKey Order'!$L$16&lt;&gt;"Y",(MAX(0,'DigiKey Order'!$F$16*D$4+'DigiKey Order'!$H$16*D$5-'DigiKey Order'!$K$16)+'DigiKey Order'!$M$16)&lt;=0),0,(MAX(0,'DigiKey Order'!$F$16*D$4+'DigiKey Order'!$H$16*D$5-'DigiKey Order'!$K$16)+'DigiKey Order'!$M$16)*IF('DigiKey Order'!$P$16&lt;&gt;"",'DigiKey Order'!$P$16,LOOKUP((MAX(0,'DigiKey Order'!$F$16*D$4+'DigiKey Order'!$H$16*D$5-'DigiKey Order'!$K$16)+'DigiKey Order'!$M$16),'DigiKey Order'!$U$16:$AB$16,'DigiKey Order'!$AC$16:$AJ$16))*(1+Settings!$B$7))</f>
        <v>22.925000000000001</v>
      </c>
      <c r="E19" s="19">
        <f>IF(OR('DigiKey Order'!$L$16&lt;&gt;"Y",(MAX(0,'DigiKey Order'!$F$16*E$4+'DigiKey Order'!$H$16*E$5-'DigiKey Order'!$K$16)+'DigiKey Order'!$M$16)&lt;=0),0,(MAX(0,'DigiKey Order'!$F$16*E$4+'DigiKey Order'!$H$16*E$5-'DigiKey Order'!$K$16)+'DigiKey Order'!$M$16)*IF('DigiKey Order'!$P$16&lt;&gt;"",'DigiKey Order'!$P$16,LOOKUP((MAX(0,'DigiKey Order'!$F$16*E$4+'DigiKey Order'!$H$16*E$5-'DigiKey Order'!$K$16)+'DigiKey Order'!$M$16),'DigiKey Order'!$U$16:$AB$16,'DigiKey Order'!$AC$16:$AJ$16))*(1+Settings!$B$7))</f>
        <v>22.925000000000001</v>
      </c>
      <c r="F19" s="19">
        <f>IF(OR('DigiKey Order'!$L$16&lt;&gt;"Y",(MAX(0,'DigiKey Order'!$F$16*F$4+'DigiKey Order'!$H$16*F$5-'DigiKey Order'!$K$16)+'DigiKey Order'!$M$16)&lt;=0),0,(MAX(0,'DigiKey Order'!$F$16*F$4+'DigiKey Order'!$H$16*F$5-'DigiKey Order'!$K$16)+'DigiKey Order'!$M$16)*IF('DigiKey Order'!$P$16&lt;&gt;"",'DigiKey Order'!$P$16,LOOKUP((MAX(0,'DigiKey Order'!$F$16*F$4+'DigiKey Order'!$H$16*F$5-'DigiKey Order'!$K$16)+'DigiKey Order'!$M$16),'DigiKey Order'!$U$16:$AB$16,'DigiKey Order'!$AC$16:$AJ$16))*(1+Settings!$B$7))</f>
        <v>22.925000000000001</v>
      </c>
      <c r="G19" s="19">
        <f>IF(OR('DigiKey Order'!$L$16&lt;&gt;"Y",(MAX(0,'DigiKey Order'!$F$16*G$4+'DigiKey Order'!$H$16*G$5-'DigiKey Order'!$K$16)+'DigiKey Order'!$M$16)&lt;=0),0,(MAX(0,'DigiKey Order'!$F$16*G$4+'DigiKey Order'!$H$16*G$5-'DigiKey Order'!$K$16)+'DigiKey Order'!$M$16)*IF('DigiKey Order'!$P$16&lt;&gt;"",'DigiKey Order'!$P$16,LOOKUP((MAX(0,'DigiKey Order'!$F$16*G$4+'DigiKey Order'!$H$16*G$5-'DigiKey Order'!$K$16)+'DigiKey Order'!$M$16),'DigiKey Order'!$U$16:$AB$16,'DigiKey Order'!$AC$16:$AJ$16))*(1+Settings!$B$7))</f>
        <v>34.387499999999996</v>
      </c>
      <c r="H19" s="19">
        <f>IF(OR('DigiKey Order'!$L$16&lt;&gt;"Y",(MAX(0,'DigiKey Order'!$F$16*H$4+'DigiKey Order'!$H$16*H$5-'DigiKey Order'!$K$16)+'DigiKey Order'!$M$16)&lt;=0),0,(MAX(0,'DigiKey Order'!$F$16*H$4+'DigiKey Order'!$H$16*H$5-'DigiKey Order'!$K$16)+'DigiKey Order'!$M$16)*IF('DigiKey Order'!$P$16&lt;&gt;"",'DigiKey Order'!$P$16,LOOKUP((MAX(0,'DigiKey Order'!$F$16*H$4+'DigiKey Order'!$H$16*H$5-'DigiKey Order'!$K$16)+'DigiKey Order'!$M$16),'DigiKey Order'!$U$16:$AB$16,'DigiKey Order'!$AC$16:$AJ$16))*(1+Settings!$B$7))</f>
        <v>34.387499999999996</v>
      </c>
      <c r="I19" s="19">
        <f>IF(OR('DigiKey Order'!$L$16&lt;&gt;"Y",(MAX(0,'DigiKey Order'!$F$16*I$4+'DigiKey Order'!$H$16*I$5-'DigiKey Order'!$K$16)+'DigiKey Order'!$M$16)&lt;=0),0,(MAX(0,'DigiKey Order'!$F$16*I$4+'DigiKey Order'!$H$16*I$5-'DigiKey Order'!$K$16)+'DigiKey Order'!$M$16)*IF('DigiKey Order'!$P$16&lt;&gt;"",'DigiKey Order'!$P$16,LOOKUP((MAX(0,'DigiKey Order'!$F$16*I$4+'DigiKey Order'!$H$16*I$5-'DigiKey Order'!$K$16)+'DigiKey Order'!$M$16),'DigiKey Order'!$U$16:$AB$16,'DigiKey Order'!$AC$16:$AJ$16))*(1+Settings!$B$7))</f>
        <v>34.387499999999996</v>
      </c>
      <c r="J19" s="19">
        <f>IF(OR('DigiKey Order'!$L$16&lt;&gt;"Y",(MAX(0,'DigiKey Order'!$F$16*J$4+'DigiKey Order'!$H$16*J$5-'DigiKey Order'!$K$16)+'DigiKey Order'!$M$16)&lt;=0),0,(MAX(0,'DigiKey Order'!$F$16*J$4+'DigiKey Order'!$H$16*J$5-'DigiKey Order'!$K$16)+'DigiKey Order'!$M$16)*IF('DigiKey Order'!$P$16&lt;&gt;"",'DigiKey Order'!$P$16,LOOKUP((MAX(0,'DigiKey Order'!$F$16*J$4+'DigiKey Order'!$H$16*J$5-'DigiKey Order'!$K$16)+'DigiKey Order'!$M$16),'DigiKey Order'!$U$16:$AB$16,'DigiKey Order'!$AC$16:$AJ$16))*(1+Settings!$B$7))</f>
        <v>34.387499999999996</v>
      </c>
    </row>
    <row r="20" spans="1:10" x14ac:dyDescent="0.25">
      <c r="A20" s="18" t="str">
        <f>'DigiKey Order'!A17</f>
        <v>497-17666-1-ND</v>
      </c>
      <c r="B20" s="18" t="str">
        <f>'DigiKey Order'!D17</f>
        <v>IC MCU 32BIT 64KB FLASH 48LQFP</v>
      </c>
      <c r="C20" s="19">
        <f>IF(OR('DigiKey Order'!$L$17&lt;&gt;"Y",(MAX(0,'DigiKey Order'!$F$17*C$4+'DigiKey Order'!$H$17*C$5-'DigiKey Order'!$K$17)+'DigiKey Order'!$M$17)&lt;=0),0,(MAX(0,'DigiKey Order'!$F$17*C$4+'DigiKey Order'!$H$17*C$5-'DigiKey Order'!$K$17)+'DigiKey Order'!$M$17)*IF('DigiKey Order'!$P$17&lt;&gt;"",'DigiKey Order'!$P$17,LOOKUP((MAX(0,'DigiKey Order'!$F$17*C$4+'DigiKey Order'!$H$17*C$5-'DigiKey Order'!$K$17)+'DigiKey Order'!$M$17),'DigiKey Order'!$U$17:$AB$17,'DigiKey Order'!$AC$17:$AJ$17))*(1+Settings!$B$7))</f>
        <v>119.55</v>
      </c>
      <c r="D20" s="19">
        <f>IF(OR('DigiKey Order'!$L$17&lt;&gt;"Y",(MAX(0,'DigiKey Order'!$F$17*D$4+'DigiKey Order'!$H$17*D$5-'DigiKey Order'!$K$17)+'DigiKey Order'!$M$17)&lt;=0),0,(MAX(0,'DigiKey Order'!$F$17*D$4+'DigiKey Order'!$H$17*D$5-'DigiKey Order'!$K$17)+'DigiKey Order'!$M$17)*IF('DigiKey Order'!$P$17&lt;&gt;"",'DigiKey Order'!$P$17,LOOKUP((MAX(0,'DigiKey Order'!$F$17*D$4+'DigiKey Order'!$H$17*D$5-'DigiKey Order'!$K$17)+'DigiKey Order'!$M$17),'DigiKey Order'!$U$17:$AB$17,'DigiKey Order'!$AC$17:$AJ$17))*(1+Settings!$B$7))</f>
        <v>179.32500000000002</v>
      </c>
      <c r="E20" s="19">
        <f>IF(OR('DigiKey Order'!$L$17&lt;&gt;"Y",(MAX(0,'DigiKey Order'!$F$17*E$4+'DigiKey Order'!$H$17*E$5-'DigiKey Order'!$K$17)+'DigiKey Order'!$M$17)&lt;=0),0,(MAX(0,'DigiKey Order'!$F$17*E$4+'DigiKey Order'!$H$17*E$5-'DigiKey Order'!$K$17)+'DigiKey Order'!$M$17)*IF('DigiKey Order'!$P$17&lt;&gt;"",'DigiKey Order'!$P$17,LOOKUP((MAX(0,'DigiKey Order'!$F$17*E$4+'DigiKey Order'!$H$17*E$5-'DigiKey Order'!$K$17)+'DigiKey Order'!$M$17),'DigiKey Order'!$U$17:$AB$17,'DigiKey Order'!$AC$17:$AJ$17))*(1+Settings!$B$7))</f>
        <v>239.1</v>
      </c>
      <c r="F20" s="19">
        <f>IF(OR('DigiKey Order'!$L$17&lt;&gt;"Y",(MAX(0,'DigiKey Order'!$F$17*F$4+'DigiKey Order'!$H$17*F$5-'DigiKey Order'!$K$17)+'DigiKey Order'!$M$17)&lt;=0),0,(MAX(0,'DigiKey Order'!$F$17*F$4+'DigiKey Order'!$H$17*F$5-'DigiKey Order'!$K$17)+'DigiKey Order'!$M$17)*IF('DigiKey Order'!$P$17&lt;&gt;"",'DigiKey Order'!$P$17,LOOKUP((MAX(0,'DigiKey Order'!$F$17*F$4+'DigiKey Order'!$H$17*F$5-'DigiKey Order'!$K$17)+'DigiKey Order'!$M$17),'DigiKey Order'!$U$17:$AB$17,'DigiKey Order'!$AC$17:$AJ$17))*(1+Settings!$B$7))</f>
        <v>298.875</v>
      </c>
      <c r="G20" s="19">
        <f>IF(OR('DigiKey Order'!$L$17&lt;&gt;"Y",(MAX(0,'DigiKey Order'!$F$17*G$4+'DigiKey Order'!$H$17*G$5-'DigiKey Order'!$K$17)+'DigiKey Order'!$M$17)&lt;=0),0,(MAX(0,'DigiKey Order'!$F$17*G$4+'DigiKey Order'!$H$17*G$5-'DigiKey Order'!$K$17)+'DigiKey Order'!$M$17)*IF('DigiKey Order'!$P$17&lt;&gt;"",'DigiKey Order'!$P$17,LOOKUP((MAX(0,'DigiKey Order'!$F$17*G$4+'DigiKey Order'!$H$17*G$5-'DigiKey Order'!$K$17)+'DigiKey Order'!$M$17),'DigiKey Order'!$U$17:$AB$17,'DigiKey Order'!$AC$17:$AJ$17))*(1+Settings!$B$7))</f>
        <v>119.55</v>
      </c>
      <c r="H20" s="19">
        <f>IF(OR('DigiKey Order'!$L$17&lt;&gt;"Y",(MAX(0,'DigiKey Order'!$F$17*H$4+'DigiKey Order'!$H$17*H$5-'DigiKey Order'!$K$17)+'DigiKey Order'!$M$17)&lt;=0),0,(MAX(0,'DigiKey Order'!$F$17*H$4+'DigiKey Order'!$H$17*H$5-'DigiKey Order'!$K$17)+'DigiKey Order'!$M$17)*IF('DigiKey Order'!$P$17&lt;&gt;"",'DigiKey Order'!$P$17,LOOKUP((MAX(0,'DigiKey Order'!$F$17*H$4+'DigiKey Order'!$H$17*H$5-'DigiKey Order'!$K$17)+'DigiKey Order'!$M$17),'DigiKey Order'!$U$17:$AB$17,'DigiKey Order'!$AC$17:$AJ$17))*(1+Settings!$B$7))</f>
        <v>179.32500000000002</v>
      </c>
      <c r="I20" s="19">
        <f>IF(OR('DigiKey Order'!$L$17&lt;&gt;"Y",(MAX(0,'DigiKey Order'!$F$17*I$4+'DigiKey Order'!$H$17*I$5-'DigiKey Order'!$K$17)+'DigiKey Order'!$M$17)&lt;=0),0,(MAX(0,'DigiKey Order'!$F$17*I$4+'DigiKey Order'!$H$17*I$5-'DigiKey Order'!$K$17)+'DigiKey Order'!$M$17)*IF('DigiKey Order'!$P$17&lt;&gt;"",'DigiKey Order'!$P$17,LOOKUP((MAX(0,'DigiKey Order'!$F$17*I$4+'DigiKey Order'!$H$17*I$5-'DigiKey Order'!$K$17)+'DigiKey Order'!$M$17),'DigiKey Order'!$U$17:$AB$17,'DigiKey Order'!$AC$17:$AJ$17))*(1+Settings!$B$7))</f>
        <v>239.1</v>
      </c>
      <c r="J20" s="19">
        <f>IF(OR('DigiKey Order'!$L$17&lt;&gt;"Y",(MAX(0,'DigiKey Order'!$F$17*J$4+'DigiKey Order'!$H$17*J$5-'DigiKey Order'!$K$17)+'DigiKey Order'!$M$17)&lt;=0),0,(MAX(0,'DigiKey Order'!$F$17*J$4+'DigiKey Order'!$H$17*J$5-'DigiKey Order'!$K$17)+'DigiKey Order'!$M$17)*IF('DigiKey Order'!$P$17&lt;&gt;"",'DigiKey Order'!$P$17,LOOKUP((MAX(0,'DigiKey Order'!$F$17*J$4+'DigiKey Order'!$H$17*J$5-'DigiKey Order'!$K$17)+'DigiKey Order'!$M$17),'DigiKey Order'!$U$17:$AB$17,'DigiKey Order'!$AC$17:$AJ$17))*(1+Settings!$B$7))</f>
        <v>298.875</v>
      </c>
    </row>
    <row r="21" spans="1:10" x14ac:dyDescent="0.25">
      <c r="A21" s="18" t="str">
        <f>'DigiKey Order'!A18</f>
        <v>497-5235-1-ND</v>
      </c>
      <c r="B21" s="18" t="str">
        <f>'DigiKey Order'!D18</f>
        <v>TVS DIODE 5V SOT23-6 (USB ESD)</v>
      </c>
      <c r="C21" s="19">
        <f>IF(OR('DigiKey Order'!$L$18&lt;&gt;"Y",(MAX(0,'DigiKey Order'!$F$18*C$4+'DigiKey Order'!$H$18*C$5-'DigiKey Order'!$K$18)+'DigiKey Order'!$M$18)&lt;=0),0,(MAX(0,'DigiKey Order'!$F$18*C$4+'DigiKey Order'!$H$18*C$5-'DigiKey Order'!$K$18)+'DigiKey Order'!$M$18)*IF('DigiKey Order'!$P$18&lt;&gt;"",'DigiKey Order'!$P$18,LOOKUP((MAX(0,'DigiKey Order'!$F$18*C$4+'DigiKey Order'!$H$18*C$5-'DigiKey Order'!$K$18)+'DigiKey Order'!$M$18),'DigiKey Order'!$U$18:$AB$18,'DigiKey Order'!$AC$18:$AJ$18))*(1+Settings!$B$7))</f>
        <v>0</v>
      </c>
      <c r="D21" s="19">
        <f>IF(OR('DigiKey Order'!$L$18&lt;&gt;"Y",(MAX(0,'DigiKey Order'!$F$18*D$4+'DigiKey Order'!$H$18*D$5-'DigiKey Order'!$K$18)+'DigiKey Order'!$M$18)&lt;=0),0,(MAX(0,'DigiKey Order'!$F$18*D$4+'DigiKey Order'!$H$18*D$5-'DigiKey Order'!$K$18)+'DigiKey Order'!$M$18)*IF('DigiKey Order'!$P$18&lt;&gt;"",'DigiKey Order'!$P$18,LOOKUP((MAX(0,'DigiKey Order'!$F$18*D$4+'DigiKey Order'!$H$18*D$5-'DigiKey Order'!$K$18)+'DigiKey Order'!$M$18),'DigiKey Order'!$U$18:$AB$18,'DigiKey Order'!$AC$18:$AJ$18))*(1+Settings!$B$7))</f>
        <v>0</v>
      </c>
      <c r="E21" s="19">
        <f>IF(OR('DigiKey Order'!$L$18&lt;&gt;"Y",(MAX(0,'DigiKey Order'!$F$18*E$4+'DigiKey Order'!$H$18*E$5-'DigiKey Order'!$K$18)+'DigiKey Order'!$M$18)&lt;=0),0,(MAX(0,'DigiKey Order'!$F$18*E$4+'DigiKey Order'!$H$18*E$5-'DigiKey Order'!$K$18)+'DigiKey Order'!$M$18)*IF('DigiKey Order'!$P$18&lt;&gt;"",'DigiKey Order'!$P$18,LOOKUP((MAX(0,'DigiKey Order'!$F$18*E$4+'DigiKey Order'!$H$18*E$5-'DigiKey Order'!$K$18)+'DigiKey Order'!$M$18),'DigiKey Order'!$U$18:$AB$18,'DigiKey Order'!$AC$18:$AJ$18))*(1+Settings!$B$7))</f>
        <v>0</v>
      </c>
      <c r="F21" s="19">
        <f>IF(OR('DigiKey Order'!$L$18&lt;&gt;"Y",(MAX(0,'DigiKey Order'!$F$18*F$4+'DigiKey Order'!$H$18*F$5-'DigiKey Order'!$K$18)+'DigiKey Order'!$M$18)&lt;=0),0,(MAX(0,'DigiKey Order'!$F$18*F$4+'DigiKey Order'!$H$18*F$5-'DigiKey Order'!$K$18)+'DigiKey Order'!$M$18)*IF('DigiKey Order'!$P$18&lt;&gt;"",'DigiKey Order'!$P$18,LOOKUP((MAX(0,'DigiKey Order'!$F$18*F$4+'DigiKey Order'!$H$18*F$5-'DigiKey Order'!$K$18)+'DigiKey Order'!$M$18),'DigiKey Order'!$U$18:$AB$18,'DigiKey Order'!$AC$18:$AJ$18))*(1+Settings!$B$7))</f>
        <v>0</v>
      </c>
      <c r="G21" s="19">
        <f>IF(OR('DigiKey Order'!$L$18&lt;&gt;"Y",(MAX(0,'DigiKey Order'!$F$18*G$4+'DigiKey Order'!$H$18*G$5-'DigiKey Order'!$K$18)+'DigiKey Order'!$M$18)&lt;=0),0,(MAX(0,'DigiKey Order'!$F$18*G$4+'DigiKey Order'!$H$18*G$5-'DigiKey Order'!$K$18)+'DigiKey Order'!$M$18)*IF('DigiKey Order'!$P$18&lt;&gt;"",'DigiKey Order'!$P$18,LOOKUP((MAX(0,'DigiKey Order'!$F$18*G$4+'DigiKey Order'!$H$18*G$5-'DigiKey Order'!$K$18)+'DigiKey Order'!$M$18),'DigiKey Order'!$U$18:$AB$18,'DigiKey Order'!$AC$18:$AJ$18))*(1+Settings!$B$7))</f>
        <v>0</v>
      </c>
      <c r="H21" s="19">
        <f>IF(OR('DigiKey Order'!$L$18&lt;&gt;"Y",(MAX(0,'DigiKey Order'!$F$18*H$4+'DigiKey Order'!$H$18*H$5-'DigiKey Order'!$K$18)+'DigiKey Order'!$M$18)&lt;=0),0,(MAX(0,'DigiKey Order'!$F$18*H$4+'DigiKey Order'!$H$18*H$5-'DigiKey Order'!$K$18)+'DigiKey Order'!$M$18)*IF('DigiKey Order'!$P$18&lt;&gt;"",'DigiKey Order'!$P$18,LOOKUP((MAX(0,'DigiKey Order'!$F$18*H$4+'DigiKey Order'!$H$18*H$5-'DigiKey Order'!$K$18)+'DigiKey Order'!$M$18),'DigiKey Order'!$U$18:$AB$18,'DigiKey Order'!$AC$18:$AJ$18))*(1+Settings!$B$7))</f>
        <v>0</v>
      </c>
      <c r="I21" s="19">
        <f>IF(OR('DigiKey Order'!$L$18&lt;&gt;"Y",(MAX(0,'DigiKey Order'!$F$18*I$4+'DigiKey Order'!$H$18*I$5-'DigiKey Order'!$K$18)+'DigiKey Order'!$M$18)&lt;=0),0,(MAX(0,'DigiKey Order'!$F$18*I$4+'DigiKey Order'!$H$18*I$5-'DigiKey Order'!$K$18)+'DigiKey Order'!$M$18)*IF('DigiKey Order'!$P$18&lt;&gt;"",'DigiKey Order'!$P$18,LOOKUP((MAX(0,'DigiKey Order'!$F$18*I$4+'DigiKey Order'!$H$18*I$5-'DigiKey Order'!$K$18)+'DigiKey Order'!$M$18),'DigiKey Order'!$U$18:$AB$18,'DigiKey Order'!$AC$18:$AJ$18))*(1+Settings!$B$7))</f>
        <v>0</v>
      </c>
      <c r="J21" s="19">
        <f>IF(OR('DigiKey Order'!$L$18&lt;&gt;"Y",(MAX(0,'DigiKey Order'!$F$18*J$4+'DigiKey Order'!$H$18*J$5-'DigiKey Order'!$K$18)+'DigiKey Order'!$M$18)&lt;=0),0,(MAX(0,'DigiKey Order'!$F$18*J$4+'DigiKey Order'!$H$18*J$5-'DigiKey Order'!$K$18)+'DigiKey Order'!$M$18)*IF('DigiKey Order'!$P$18&lt;&gt;"",'DigiKey Order'!$P$18,LOOKUP((MAX(0,'DigiKey Order'!$F$18*J$4+'DigiKey Order'!$H$18*J$5-'DigiKey Order'!$K$18)+'DigiKey Order'!$M$18),'DigiKey Order'!$U$18:$AB$18,'DigiKey Order'!$AC$18:$AJ$18))*(1+Settings!$B$7))</f>
        <v>0</v>
      </c>
    </row>
    <row r="22" spans="1:10" x14ac:dyDescent="0.25">
      <c r="A22" s="18" t="str">
        <f>'DigiKey Order'!A19</f>
        <v>296-25222-1-ND</v>
      </c>
      <c r="B22" s="18" t="str">
        <f>'DigiKey Order'!D19</f>
        <v>IC USB SWITCH DUAL 1X2 10UQFN</v>
      </c>
      <c r="C22" s="19">
        <f>IF(OR('DigiKey Order'!$L$19&lt;&gt;"Y",(MAX(0,'DigiKey Order'!$F$19*C$4+'DigiKey Order'!$H$19*C$5-'DigiKey Order'!$K$19)+'DigiKey Order'!$M$19)&lt;=0),0,(MAX(0,'DigiKey Order'!$F$19*C$4+'DigiKey Order'!$H$19*C$5-'DigiKey Order'!$K$19)+'DigiKey Order'!$M$19)*IF('DigiKey Order'!$P$19&lt;&gt;"",'DigiKey Order'!$P$19,LOOKUP((MAX(0,'DigiKey Order'!$F$19*C$4+'DigiKey Order'!$H$19*C$5-'DigiKey Order'!$K$19)+'DigiKey Order'!$M$19),'DigiKey Order'!$U$19:$AB$19,'DigiKey Order'!$AC$19:$AJ$19))*(1+Settings!$B$7))</f>
        <v>26.774999999999999</v>
      </c>
      <c r="D22" s="19">
        <f>IF(OR('DigiKey Order'!$L$19&lt;&gt;"Y",(MAX(0,'DigiKey Order'!$F$19*D$4+'DigiKey Order'!$H$19*D$5-'DigiKey Order'!$K$19)+'DigiKey Order'!$M$19)&lt;=0),0,(MAX(0,'DigiKey Order'!$F$19*D$4+'DigiKey Order'!$H$19*D$5-'DigiKey Order'!$K$19)+'DigiKey Order'!$M$19)*IF('DigiKey Order'!$P$19&lt;&gt;"",'DigiKey Order'!$P$19,LOOKUP((MAX(0,'DigiKey Order'!$F$19*D$4+'DigiKey Order'!$H$19*D$5-'DigiKey Order'!$K$19)+'DigiKey Order'!$M$19),'DigiKey Order'!$U$19:$AB$19,'DigiKey Order'!$AC$19:$AJ$19))*(1+Settings!$B$7))</f>
        <v>26.774999999999999</v>
      </c>
      <c r="E22" s="19">
        <f>IF(OR('DigiKey Order'!$L$19&lt;&gt;"Y",(MAX(0,'DigiKey Order'!$F$19*E$4+'DigiKey Order'!$H$19*E$5-'DigiKey Order'!$K$19)+'DigiKey Order'!$M$19)&lt;=0),0,(MAX(0,'DigiKey Order'!$F$19*E$4+'DigiKey Order'!$H$19*E$5-'DigiKey Order'!$K$19)+'DigiKey Order'!$M$19)*IF('DigiKey Order'!$P$19&lt;&gt;"",'DigiKey Order'!$P$19,LOOKUP((MAX(0,'DigiKey Order'!$F$19*E$4+'DigiKey Order'!$H$19*E$5-'DigiKey Order'!$K$19)+'DigiKey Order'!$M$19),'DigiKey Order'!$U$19:$AB$19,'DigiKey Order'!$AC$19:$AJ$19))*(1+Settings!$B$7))</f>
        <v>26.774999999999999</v>
      </c>
      <c r="F22" s="19">
        <f>IF(OR('DigiKey Order'!$L$19&lt;&gt;"Y",(MAX(0,'DigiKey Order'!$F$19*F$4+'DigiKey Order'!$H$19*F$5-'DigiKey Order'!$K$19)+'DigiKey Order'!$M$19)&lt;=0),0,(MAX(0,'DigiKey Order'!$F$19*F$4+'DigiKey Order'!$H$19*F$5-'DigiKey Order'!$K$19)+'DigiKey Order'!$M$19)*IF('DigiKey Order'!$P$19&lt;&gt;"",'DigiKey Order'!$P$19,LOOKUP((MAX(0,'DigiKey Order'!$F$19*F$4+'DigiKey Order'!$H$19*F$5-'DigiKey Order'!$K$19)+'DigiKey Order'!$M$19),'DigiKey Order'!$U$19:$AB$19,'DigiKey Order'!$AC$19:$AJ$19))*(1+Settings!$B$7))</f>
        <v>26.774999999999999</v>
      </c>
      <c r="G22" s="19">
        <f>IF(OR('DigiKey Order'!$L$19&lt;&gt;"Y",(MAX(0,'DigiKey Order'!$F$19*G$4+'DigiKey Order'!$H$19*G$5-'DigiKey Order'!$K$19)+'DigiKey Order'!$M$19)&lt;=0),0,(MAX(0,'DigiKey Order'!$F$19*G$4+'DigiKey Order'!$H$19*G$5-'DigiKey Order'!$K$19)+'DigiKey Order'!$M$19)*IF('DigiKey Order'!$P$19&lt;&gt;"",'DigiKey Order'!$P$19,LOOKUP((MAX(0,'DigiKey Order'!$F$19*G$4+'DigiKey Order'!$H$19*G$5-'DigiKey Order'!$K$19)+'DigiKey Order'!$M$19),'DigiKey Order'!$U$19:$AB$19,'DigiKey Order'!$AC$19:$AJ$19))*(1+Settings!$B$7))</f>
        <v>35.699999999999996</v>
      </c>
      <c r="H22" s="19">
        <f>IF(OR('DigiKey Order'!$L$19&lt;&gt;"Y",(MAX(0,'DigiKey Order'!$F$19*H$4+'DigiKey Order'!$H$19*H$5-'DigiKey Order'!$K$19)+'DigiKey Order'!$M$19)&lt;=0),0,(MAX(0,'DigiKey Order'!$F$19*H$4+'DigiKey Order'!$H$19*H$5-'DigiKey Order'!$K$19)+'DigiKey Order'!$M$19)*IF('DigiKey Order'!$P$19&lt;&gt;"",'DigiKey Order'!$P$19,LOOKUP((MAX(0,'DigiKey Order'!$F$19*H$4+'DigiKey Order'!$H$19*H$5-'DigiKey Order'!$K$19)+'DigiKey Order'!$M$19),'DigiKey Order'!$U$19:$AB$19,'DigiKey Order'!$AC$19:$AJ$19))*(1+Settings!$B$7))</f>
        <v>35.699999999999996</v>
      </c>
      <c r="I22" s="19">
        <f>IF(OR('DigiKey Order'!$L$19&lt;&gt;"Y",(MAX(0,'DigiKey Order'!$F$19*I$4+'DigiKey Order'!$H$19*I$5-'DigiKey Order'!$K$19)+'DigiKey Order'!$M$19)&lt;=0),0,(MAX(0,'DigiKey Order'!$F$19*I$4+'DigiKey Order'!$H$19*I$5-'DigiKey Order'!$K$19)+'DigiKey Order'!$M$19)*IF('DigiKey Order'!$P$19&lt;&gt;"",'DigiKey Order'!$P$19,LOOKUP((MAX(0,'DigiKey Order'!$F$19*I$4+'DigiKey Order'!$H$19*I$5-'DigiKey Order'!$K$19)+'DigiKey Order'!$M$19),'DigiKey Order'!$U$19:$AB$19,'DigiKey Order'!$AC$19:$AJ$19))*(1+Settings!$B$7))</f>
        <v>35.699999999999996</v>
      </c>
      <c r="J22" s="19">
        <f>IF(OR('DigiKey Order'!$L$19&lt;&gt;"Y",(MAX(0,'DigiKey Order'!$F$19*J$4+'DigiKey Order'!$H$19*J$5-'DigiKey Order'!$K$19)+'DigiKey Order'!$M$19)&lt;=0),0,(MAX(0,'DigiKey Order'!$F$19*J$4+'DigiKey Order'!$H$19*J$5-'DigiKey Order'!$K$19)+'DigiKey Order'!$M$19)*IF('DigiKey Order'!$P$19&lt;&gt;"",'DigiKey Order'!$P$19,LOOKUP((MAX(0,'DigiKey Order'!$F$19*J$4+'DigiKey Order'!$H$19*J$5-'DigiKey Order'!$K$19)+'DigiKey Order'!$M$19),'DigiKey Order'!$U$19:$AB$19,'DigiKey Order'!$AC$19:$AJ$19))*(1+Settings!$B$7))</f>
        <v>35.699999999999996</v>
      </c>
    </row>
    <row r="23" spans="1:10" x14ac:dyDescent="0.25">
      <c r="A23" s="18" t="str">
        <f>'DigiKey Order'!A20</f>
        <v>USB2514BT/M2CT-ND</v>
      </c>
      <c r="B23" s="18" t="str">
        <f>'DigiKey Order'!D20</f>
        <v>IC HUB CTLR 4PORT USB 2.0 HS 36SQFN</v>
      </c>
      <c r="C23" s="19">
        <f>IF(OR('DigiKey Order'!$L$20&lt;&gt;"Y",(MAX(0,'DigiKey Order'!$F$20*C$4+'DigiKey Order'!$H$20*C$5-'DigiKey Order'!$K$20)+'DigiKey Order'!$M$20)&lt;=0),0,(MAX(0,'DigiKey Order'!$F$20*C$4+'DigiKey Order'!$H$20*C$5-'DigiKey Order'!$K$20)+'DigiKey Order'!$M$20)*IF('DigiKey Order'!$P$20&lt;&gt;"",'DigiKey Order'!$P$20,LOOKUP((MAX(0,'DigiKey Order'!$F$20*C$4+'DigiKey Order'!$H$20*C$5-'DigiKey Order'!$K$20)+'DigiKey Order'!$M$20),'DigiKey Order'!$U$20:$AB$20,'DigiKey Order'!$AC$20:$AJ$20))*(1+Settings!$B$7))</f>
        <v>20.299999999999997</v>
      </c>
      <c r="D23" s="19">
        <f>IF(OR('DigiKey Order'!$L$20&lt;&gt;"Y",(MAX(0,'DigiKey Order'!$F$20*D$4+'DigiKey Order'!$H$20*D$5-'DigiKey Order'!$K$20)+'DigiKey Order'!$M$20)&lt;=0),0,(MAX(0,'DigiKey Order'!$F$20*D$4+'DigiKey Order'!$H$20*D$5-'DigiKey Order'!$K$20)+'DigiKey Order'!$M$20)*IF('DigiKey Order'!$P$20&lt;&gt;"",'DigiKey Order'!$P$20,LOOKUP((MAX(0,'DigiKey Order'!$F$20*D$4+'DigiKey Order'!$H$20*D$5-'DigiKey Order'!$K$20)+'DigiKey Order'!$M$20),'DigiKey Order'!$U$20:$AB$20,'DigiKey Order'!$AC$20:$AJ$20))*(1+Settings!$B$7))</f>
        <v>20.299999999999997</v>
      </c>
      <c r="E23" s="19">
        <f>IF(OR('DigiKey Order'!$L$20&lt;&gt;"Y",(MAX(0,'DigiKey Order'!$F$20*E$4+'DigiKey Order'!$H$20*E$5-'DigiKey Order'!$K$20)+'DigiKey Order'!$M$20)&lt;=0),0,(MAX(0,'DigiKey Order'!$F$20*E$4+'DigiKey Order'!$H$20*E$5-'DigiKey Order'!$K$20)+'DigiKey Order'!$M$20)*IF('DigiKey Order'!$P$20&lt;&gt;"",'DigiKey Order'!$P$20,LOOKUP((MAX(0,'DigiKey Order'!$F$20*E$4+'DigiKey Order'!$H$20*E$5-'DigiKey Order'!$K$20)+'DigiKey Order'!$M$20),'DigiKey Order'!$U$20:$AB$20,'DigiKey Order'!$AC$20:$AJ$20))*(1+Settings!$B$7))</f>
        <v>20.299999999999997</v>
      </c>
      <c r="F23" s="19">
        <f>IF(OR('DigiKey Order'!$L$20&lt;&gt;"Y",(MAX(0,'DigiKey Order'!$F$20*F$4+'DigiKey Order'!$H$20*F$5-'DigiKey Order'!$K$20)+'DigiKey Order'!$M$20)&lt;=0),0,(MAX(0,'DigiKey Order'!$F$20*F$4+'DigiKey Order'!$H$20*F$5-'DigiKey Order'!$K$20)+'DigiKey Order'!$M$20)*IF('DigiKey Order'!$P$20&lt;&gt;"",'DigiKey Order'!$P$20,LOOKUP((MAX(0,'DigiKey Order'!$F$20*F$4+'DigiKey Order'!$H$20*F$5-'DigiKey Order'!$K$20)+'DigiKey Order'!$M$20),'DigiKey Order'!$U$20:$AB$20,'DigiKey Order'!$AC$20:$AJ$20))*(1+Settings!$B$7))</f>
        <v>20.299999999999997</v>
      </c>
      <c r="G23" s="19">
        <f>IF(OR('DigiKey Order'!$L$20&lt;&gt;"Y",(MAX(0,'DigiKey Order'!$F$20*G$4+'DigiKey Order'!$H$20*G$5-'DigiKey Order'!$K$20)+'DigiKey Order'!$M$20)&lt;=0),0,(MAX(0,'DigiKey Order'!$F$20*G$4+'DigiKey Order'!$H$20*G$5-'DigiKey Order'!$K$20)+'DigiKey Order'!$M$20)*IF('DigiKey Order'!$P$20&lt;&gt;"",'DigiKey Order'!$P$20,LOOKUP((MAX(0,'DigiKey Order'!$F$20*G$4+'DigiKey Order'!$H$20*G$5-'DigiKey Order'!$K$20)+'DigiKey Order'!$M$20),'DigiKey Order'!$U$20:$AB$20,'DigiKey Order'!$AC$20:$AJ$20))*(1+Settings!$B$7))</f>
        <v>40.599999999999994</v>
      </c>
      <c r="H23" s="19">
        <f>IF(OR('DigiKey Order'!$L$20&lt;&gt;"Y",(MAX(0,'DigiKey Order'!$F$20*H$4+'DigiKey Order'!$H$20*H$5-'DigiKey Order'!$K$20)+'DigiKey Order'!$M$20)&lt;=0),0,(MAX(0,'DigiKey Order'!$F$20*H$4+'DigiKey Order'!$H$20*H$5-'DigiKey Order'!$K$20)+'DigiKey Order'!$M$20)*IF('DigiKey Order'!$P$20&lt;&gt;"",'DigiKey Order'!$P$20,LOOKUP((MAX(0,'DigiKey Order'!$F$20*H$4+'DigiKey Order'!$H$20*H$5-'DigiKey Order'!$K$20)+'DigiKey Order'!$M$20),'DigiKey Order'!$U$20:$AB$20,'DigiKey Order'!$AC$20:$AJ$20))*(1+Settings!$B$7))</f>
        <v>40.599999999999994</v>
      </c>
      <c r="I23" s="19">
        <f>IF(OR('DigiKey Order'!$L$20&lt;&gt;"Y",(MAX(0,'DigiKey Order'!$F$20*I$4+'DigiKey Order'!$H$20*I$5-'DigiKey Order'!$K$20)+'DigiKey Order'!$M$20)&lt;=0),0,(MAX(0,'DigiKey Order'!$F$20*I$4+'DigiKey Order'!$H$20*I$5-'DigiKey Order'!$K$20)+'DigiKey Order'!$M$20)*IF('DigiKey Order'!$P$20&lt;&gt;"",'DigiKey Order'!$P$20,LOOKUP((MAX(0,'DigiKey Order'!$F$20*I$4+'DigiKey Order'!$H$20*I$5-'DigiKey Order'!$K$20)+'DigiKey Order'!$M$20),'DigiKey Order'!$U$20:$AB$20,'DigiKey Order'!$AC$20:$AJ$20))*(1+Settings!$B$7))</f>
        <v>40.599999999999994</v>
      </c>
      <c r="J23" s="19">
        <f>IF(OR('DigiKey Order'!$L$20&lt;&gt;"Y",(MAX(0,'DigiKey Order'!$F$20*J$4+'DigiKey Order'!$H$20*J$5-'DigiKey Order'!$K$20)+'DigiKey Order'!$M$20)&lt;=0),0,(MAX(0,'DigiKey Order'!$F$20*J$4+'DigiKey Order'!$H$20*J$5-'DigiKey Order'!$K$20)+'DigiKey Order'!$M$20)*IF('DigiKey Order'!$P$20&lt;&gt;"",'DigiKey Order'!$P$20,LOOKUP((MAX(0,'DigiKey Order'!$F$20*J$4+'DigiKey Order'!$H$20*J$5-'DigiKey Order'!$K$20)+'DigiKey Order'!$M$20),'DigiKey Order'!$U$20:$AB$20,'DigiKey Order'!$AC$20:$AJ$20))*(1+Settings!$B$7))</f>
        <v>40.599999999999994</v>
      </c>
    </row>
    <row r="24" spans="1:10" x14ac:dyDescent="0.25">
      <c r="A24" s="18" t="str">
        <f>'DigiKey Order'!A21</f>
        <v>SER3634CT-ND</v>
      </c>
      <c r="B24" s="18" t="str">
        <f>'DigiKey Order'!D21</f>
        <v>CRYSTAL 24.0000MHZ 9PF SMD</v>
      </c>
      <c r="C24" s="19">
        <f>IF(OR('DigiKey Order'!$L$21&lt;&gt;"Y",(MAX(0,'DigiKey Order'!$F$21*C$4+'DigiKey Order'!$H$21*C$5-'DigiKey Order'!$K$21)+'DigiKey Order'!$M$21)&lt;=0),0,(MAX(0,'DigiKey Order'!$F$21*C$4+'DigiKey Order'!$H$21*C$5-'DigiKey Order'!$K$21)+'DigiKey Order'!$M$21)*IF('DigiKey Order'!$P$21&lt;&gt;"",'DigiKey Order'!$P$21,LOOKUP((MAX(0,'DigiKey Order'!$F$21*C$4+'DigiKey Order'!$H$21*C$5-'DigiKey Order'!$K$21)+'DigiKey Order'!$M$21),'DigiKey Order'!$U$21:$AB$21,'DigiKey Order'!$AC$21:$AJ$21))*(1+Settings!$B$7))</f>
        <v>6.7125000000000004</v>
      </c>
      <c r="D24" s="19">
        <f>IF(OR('DigiKey Order'!$L$21&lt;&gt;"Y",(MAX(0,'DigiKey Order'!$F$21*D$4+'DigiKey Order'!$H$21*D$5-'DigiKey Order'!$K$21)+'DigiKey Order'!$M$21)&lt;=0),0,(MAX(0,'DigiKey Order'!$F$21*D$4+'DigiKey Order'!$H$21*D$5-'DigiKey Order'!$K$21)+'DigiKey Order'!$M$21)*IF('DigiKey Order'!$P$21&lt;&gt;"",'DigiKey Order'!$P$21,LOOKUP((MAX(0,'DigiKey Order'!$F$21*D$4+'DigiKey Order'!$H$21*D$5-'DigiKey Order'!$K$21)+'DigiKey Order'!$M$21),'DigiKey Order'!$U$21:$AB$21,'DigiKey Order'!$AC$21:$AJ$21))*(1+Settings!$B$7))</f>
        <v>6.7125000000000004</v>
      </c>
      <c r="E24" s="19">
        <f>IF(OR('DigiKey Order'!$L$21&lt;&gt;"Y",(MAX(0,'DigiKey Order'!$F$21*E$4+'DigiKey Order'!$H$21*E$5-'DigiKey Order'!$K$21)+'DigiKey Order'!$M$21)&lt;=0),0,(MAX(0,'DigiKey Order'!$F$21*E$4+'DigiKey Order'!$H$21*E$5-'DigiKey Order'!$K$21)+'DigiKey Order'!$M$21)*IF('DigiKey Order'!$P$21&lt;&gt;"",'DigiKey Order'!$P$21,LOOKUP((MAX(0,'DigiKey Order'!$F$21*E$4+'DigiKey Order'!$H$21*E$5-'DigiKey Order'!$K$21)+'DigiKey Order'!$M$21),'DigiKey Order'!$U$21:$AB$21,'DigiKey Order'!$AC$21:$AJ$21))*(1+Settings!$B$7))</f>
        <v>6.7125000000000004</v>
      </c>
      <c r="F24" s="19">
        <f>IF(OR('DigiKey Order'!$L$21&lt;&gt;"Y",(MAX(0,'DigiKey Order'!$F$21*F$4+'DigiKey Order'!$H$21*F$5-'DigiKey Order'!$K$21)+'DigiKey Order'!$M$21)&lt;=0),0,(MAX(0,'DigiKey Order'!$F$21*F$4+'DigiKey Order'!$H$21*F$5-'DigiKey Order'!$K$21)+'DigiKey Order'!$M$21)*IF('DigiKey Order'!$P$21&lt;&gt;"",'DigiKey Order'!$P$21,LOOKUP((MAX(0,'DigiKey Order'!$F$21*F$4+'DigiKey Order'!$H$21*F$5-'DigiKey Order'!$K$21)+'DigiKey Order'!$M$21),'DigiKey Order'!$U$21:$AB$21,'DigiKey Order'!$AC$21:$AJ$21))*(1+Settings!$B$7))</f>
        <v>6.7125000000000004</v>
      </c>
      <c r="G24" s="19">
        <f>IF(OR('DigiKey Order'!$L$21&lt;&gt;"Y",(MAX(0,'DigiKey Order'!$F$21*G$4+'DigiKey Order'!$H$21*G$5-'DigiKey Order'!$K$21)+'DigiKey Order'!$M$21)&lt;=0),0,(MAX(0,'DigiKey Order'!$F$21*G$4+'DigiKey Order'!$H$21*G$5-'DigiKey Order'!$K$21)+'DigiKey Order'!$M$21)*IF('DigiKey Order'!$P$21&lt;&gt;"",'DigiKey Order'!$P$21,LOOKUP((MAX(0,'DigiKey Order'!$F$21*G$4+'DigiKey Order'!$H$21*G$5-'DigiKey Order'!$K$21)+'DigiKey Order'!$M$21),'DigiKey Order'!$U$21:$AB$21,'DigiKey Order'!$AC$21:$AJ$21))*(1+Settings!$B$7))</f>
        <v>13.425000000000001</v>
      </c>
      <c r="H24" s="19">
        <f>IF(OR('DigiKey Order'!$L$21&lt;&gt;"Y",(MAX(0,'DigiKey Order'!$F$21*H$4+'DigiKey Order'!$H$21*H$5-'DigiKey Order'!$K$21)+'DigiKey Order'!$M$21)&lt;=0),0,(MAX(0,'DigiKey Order'!$F$21*H$4+'DigiKey Order'!$H$21*H$5-'DigiKey Order'!$K$21)+'DigiKey Order'!$M$21)*IF('DigiKey Order'!$P$21&lt;&gt;"",'DigiKey Order'!$P$21,LOOKUP((MAX(0,'DigiKey Order'!$F$21*H$4+'DigiKey Order'!$H$21*H$5-'DigiKey Order'!$K$21)+'DigiKey Order'!$M$21),'DigiKey Order'!$U$21:$AB$21,'DigiKey Order'!$AC$21:$AJ$21))*(1+Settings!$B$7))</f>
        <v>13.425000000000001</v>
      </c>
      <c r="I24" s="19">
        <f>IF(OR('DigiKey Order'!$L$21&lt;&gt;"Y",(MAX(0,'DigiKey Order'!$F$21*I$4+'DigiKey Order'!$H$21*I$5-'DigiKey Order'!$K$21)+'DigiKey Order'!$M$21)&lt;=0),0,(MAX(0,'DigiKey Order'!$F$21*I$4+'DigiKey Order'!$H$21*I$5-'DigiKey Order'!$K$21)+'DigiKey Order'!$M$21)*IF('DigiKey Order'!$P$21&lt;&gt;"",'DigiKey Order'!$P$21,LOOKUP((MAX(0,'DigiKey Order'!$F$21*I$4+'DigiKey Order'!$H$21*I$5-'DigiKey Order'!$K$21)+'DigiKey Order'!$M$21),'DigiKey Order'!$U$21:$AB$21,'DigiKey Order'!$AC$21:$AJ$21))*(1+Settings!$B$7))</f>
        <v>13.425000000000001</v>
      </c>
      <c r="J24" s="19">
        <f>IF(OR('DigiKey Order'!$L$21&lt;&gt;"Y",(MAX(0,'DigiKey Order'!$F$21*J$4+'DigiKey Order'!$H$21*J$5-'DigiKey Order'!$K$21)+'DigiKey Order'!$M$21)&lt;=0),0,(MAX(0,'DigiKey Order'!$F$21*J$4+'DigiKey Order'!$H$21*J$5-'DigiKey Order'!$K$21)+'DigiKey Order'!$M$21)*IF('DigiKey Order'!$P$21&lt;&gt;"",'DigiKey Order'!$P$21,LOOKUP((MAX(0,'DigiKey Order'!$F$21*J$4+'DigiKey Order'!$H$21*J$5-'DigiKey Order'!$K$21)+'DigiKey Order'!$M$21),'DigiKey Order'!$U$21:$AB$21,'DigiKey Order'!$AC$21:$AJ$21))*(1+Settings!$B$7))</f>
        <v>13.425000000000001</v>
      </c>
    </row>
    <row r="25" spans="1:10" x14ac:dyDescent="0.25">
      <c r="A25" s="18" t="str">
        <f>'DigiKey Order'!A22</f>
        <v>50-ECS-80-18-33-JGN-CT-ND</v>
      </c>
      <c r="B25" s="18" t="str">
        <f>'DigiKey Order'!D22</f>
        <v>CRYSTAL 8.0000MHZ 18PF SMD</v>
      </c>
      <c r="C25" s="19">
        <f>IF(OR('DigiKey Order'!$L$22&lt;&gt;"Y",(MAX(0,'DigiKey Order'!$F$22*C$4+'DigiKey Order'!$H$22*C$5-'DigiKey Order'!$K$22)+'DigiKey Order'!$M$22)&lt;=0),0,(MAX(0,'DigiKey Order'!$F$22*C$4+'DigiKey Order'!$H$22*C$5-'DigiKey Order'!$K$22)+'DigiKey Order'!$M$22)*IF('DigiKey Order'!$P$22&lt;&gt;"",'DigiKey Order'!$P$22,LOOKUP((MAX(0,'DigiKey Order'!$F$22*C$4+'DigiKey Order'!$H$22*C$5-'DigiKey Order'!$K$22)+'DigiKey Order'!$M$22),'DigiKey Order'!$U$22:$AB$22,'DigiKey Order'!$AC$22:$AJ$22))*(1+Settings!$B$7))</f>
        <v>9.65</v>
      </c>
      <c r="D25" s="19">
        <f>IF(OR('DigiKey Order'!$L$22&lt;&gt;"Y",(MAX(0,'DigiKey Order'!$F$22*D$4+'DigiKey Order'!$H$22*D$5-'DigiKey Order'!$K$22)+'DigiKey Order'!$M$22)&lt;=0),0,(MAX(0,'DigiKey Order'!$F$22*D$4+'DigiKey Order'!$H$22*D$5-'DigiKey Order'!$K$22)+'DigiKey Order'!$M$22)*IF('DigiKey Order'!$P$22&lt;&gt;"",'DigiKey Order'!$P$22,LOOKUP((MAX(0,'DigiKey Order'!$F$22*D$4+'DigiKey Order'!$H$22*D$5-'DigiKey Order'!$K$22)+'DigiKey Order'!$M$22),'DigiKey Order'!$U$22:$AB$22,'DigiKey Order'!$AC$22:$AJ$22))*(1+Settings!$B$7))</f>
        <v>14.475</v>
      </c>
      <c r="E25" s="19">
        <f>IF(OR('DigiKey Order'!$L$22&lt;&gt;"Y",(MAX(0,'DigiKey Order'!$F$22*E$4+'DigiKey Order'!$H$22*E$5-'DigiKey Order'!$K$22)+'DigiKey Order'!$M$22)&lt;=0),0,(MAX(0,'DigiKey Order'!$F$22*E$4+'DigiKey Order'!$H$22*E$5-'DigiKey Order'!$K$22)+'DigiKey Order'!$M$22)*IF('DigiKey Order'!$P$22&lt;&gt;"",'DigiKey Order'!$P$22,LOOKUP((MAX(0,'DigiKey Order'!$F$22*E$4+'DigiKey Order'!$H$22*E$5-'DigiKey Order'!$K$22)+'DigiKey Order'!$M$22),'DigiKey Order'!$U$22:$AB$22,'DigiKey Order'!$AC$22:$AJ$22))*(1+Settings!$B$7))</f>
        <v>19.3</v>
      </c>
      <c r="F25" s="19">
        <f>IF(OR('DigiKey Order'!$L$22&lt;&gt;"Y",(MAX(0,'DigiKey Order'!$F$22*F$4+'DigiKey Order'!$H$22*F$5-'DigiKey Order'!$K$22)+'DigiKey Order'!$M$22)&lt;=0),0,(MAX(0,'DigiKey Order'!$F$22*F$4+'DigiKey Order'!$H$22*F$5-'DigiKey Order'!$K$22)+'DigiKey Order'!$M$22)*IF('DigiKey Order'!$P$22&lt;&gt;"",'DigiKey Order'!$P$22,LOOKUP((MAX(0,'DigiKey Order'!$F$22*F$4+'DigiKey Order'!$H$22*F$5-'DigiKey Order'!$K$22)+'DigiKey Order'!$M$22),'DigiKey Order'!$U$22:$AB$22,'DigiKey Order'!$AC$22:$AJ$22))*(1+Settings!$B$7))</f>
        <v>24.125</v>
      </c>
      <c r="G25" s="19">
        <f>IF(OR('DigiKey Order'!$L$22&lt;&gt;"Y",(MAX(0,'DigiKey Order'!$F$22*G$4+'DigiKey Order'!$H$22*G$5-'DigiKey Order'!$K$22)+'DigiKey Order'!$M$22)&lt;=0),0,(MAX(0,'DigiKey Order'!$F$22*G$4+'DigiKey Order'!$H$22*G$5-'DigiKey Order'!$K$22)+'DigiKey Order'!$M$22)*IF('DigiKey Order'!$P$22&lt;&gt;"",'DigiKey Order'!$P$22,LOOKUP((MAX(0,'DigiKey Order'!$F$22*G$4+'DigiKey Order'!$H$22*G$5-'DigiKey Order'!$K$22)+'DigiKey Order'!$M$22),'DigiKey Order'!$U$22:$AB$22,'DigiKey Order'!$AC$22:$AJ$22))*(1+Settings!$B$7))</f>
        <v>9.65</v>
      </c>
      <c r="H25" s="19">
        <f>IF(OR('DigiKey Order'!$L$22&lt;&gt;"Y",(MAX(0,'DigiKey Order'!$F$22*H$4+'DigiKey Order'!$H$22*H$5-'DigiKey Order'!$K$22)+'DigiKey Order'!$M$22)&lt;=0),0,(MAX(0,'DigiKey Order'!$F$22*H$4+'DigiKey Order'!$H$22*H$5-'DigiKey Order'!$K$22)+'DigiKey Order'!$M$22)*IF('DigiKey Order'!$P$22&lt;&gt;"",'DigiKey Order'!$P$22,LOOKUP((MAX(0,'DigiKey Order'!$F$22*H$4+'DigiKey Order'!$H$22*H$5-'DigiKey Order'!$K$22)+'DigiKey Order'!$M$22),'DigiKey Order'!$U$22:$AB$22,'DigiKey Order'!$AC$22:$AJ$22))*(1+Settings!$B$7))</f>
        <v>14.475</v>
      </c>
      <c r="I25" s="19">
        <f>IF(OR('DigiKey Order'!$L$22&lt;&gt;"Y",(MAX(0,'DigiKey Order'!$F$22*I$4+'DigiKey Order'!$H$22*I$5-'DigiKey Order'!$K$22)+'DigiKey Order'!$M$22)&lt;=0),0,(MAX(0,'DigiKey Order'!$F$22*I$4+'DigiKey Order'!$H$22*I$5-'DigiKey Order'!$K$22)+'DigiKey Order'!$M$22)*IF('DigiKey Order'!$P$22&lt;&gt;"",'DigiKey Order'!$P$22,LOOKUP((MAX(0,'DigiKey Order'!$F$22*I$4+'DigiKey Order'!$H$22*I$5-'DigiKey Order'!$K$22)+'DigiKey Order'!$M$22),'DigiKey Order'!$U$22:$AB$22,'DigiKey Order'!$AC$22:$AJ$22))*(1+Settings!$B$7))</f>
        <v>19.3</v>
      </c>
      <c r="J25" s="19">
        <f>IF(OR('DigiKey Order'!$L$22&lt;&gt;"Y",(MAX(0,'DigiKey Order'!$F$22*J$4+'DigiKey Order'!$H$22*J$5-'DigiKey Order'!$K$22)+'DigiKey Order'!$M$22)&lt;=0),0,(MAX(0,'DigiKey Order'!$F$22*J$4+'DigiKey Order'!$H$22*J$5-'DigiKey Order'!$K$22)+'DigiKey Order'!$M$22)*IF('DigiKey Order'!$P$22&lt;&gt;"",'DigiKey Order'!$P$22,LOOKUP((MAX(0,'DigiKey Order'!$F$22*J$4+'DigiKey Order'!$H$22*J$5-'DigiKey Order'!$K$22)+'DigiKey Order'!$M$22),'DigiKey Order'!$U$22:$AB$22,'DigiKey Order'!$AC$22:$AJ$22))*(1+Settings!$B$7))</f>
        <v>24.125</v>
      </c>
    </row>
    <row r="26" spans="1:10" x14ac:dyDescent="0.25">
      <c r="A26" s="18" t="str">
        <f>'DigiKey Order'!A23</f>
        <v>311-47.0KLRCT-ND</v>
      </c>
      <c r="B26" s="18" t="str">
        <f>'DigiKey Order'!D23</f>
        <v>RES 47K OHM 1% 1/16W 0402</v>
      </c>
      <c r="C26" s="19">
        <f>IF(OR('DigiKey Order'!$L$23&lt;&gt;"Y",(MAX(0,'DigiKey Order'!$F$23*C$4+'DigiKey Order'!$H$23*C$5-'DigiKey Order'!$K$23)+'DigiKey Order'!$M$23)&lt;=0),0,(MAX(0,'DigiKey Order'!$F$23*C$4+'DigiKey Order'!$H$23*C$5-'DigiKey Order'!$K$23)+'DigiKey Order'!$M$23)*IF('DigiKey Order'!$P$23&lt;&gt;"",'DigiKey Order'!$P$23,LOOKUP((MAX(0,'DigiKey Order'!$F$23*C$4+'DigiKey Order'!$H$23*C$5-'DigiKey Order'!$K$23)+'DigiKey Order'!$M$23),'DigiKey Order'!$U$23:$AB$23,'DigiKey Order'!$AC$23:$AJ$23))*(1+Settings!$B$7))</f>
        <v>0</v>
      </c>
      <c r="D26" s="19">
        <f>IF(OR('DigiKey Order'!$L$23&lt;&gt;"Y",(MAX(0,'DigiKey Order'!$F$23*D$4+'DigiKey Order'!$H$23*D$5-'DigiKey Order'!$K$23)+'DigiKey Order'!$M$23)&lt;=0),0,(MAX(0,'DigiKey Order'!$F$23*D$4+'DigiKey Order'!$H$23*D$5-'DigiKey Order'!$K$23)+'DigiKey Order'!$M$23)*IF('DigiKey Order'!$P$23&lt;&gt;"",'DigiKey Order'!$P$23,LOOKUP((MAX(0,'DigiKey Order'!$F$23*D$4+'DigiKey Order'!$H$23*D$5-'DigiKey Order'!$K$23)+'DigiKey Order'!$M$23),'DigiKey Order'!$U$23:$AB$23,'DigiKey Order'!$AC$23:$AJ$23))*(1+Settings!$B$7))</f>
        <v>0</v>
      </c>
      <c r="E26" s="19">
        <f>IF(OR('DigiKey Order'!$L$23&lt;&gt;"Y",(MAX(0,'DigiKey Order'!$F$23*E$4+'DigiKey Order'!$H$23*E$5-'DigiKey Order'!$K$23)+'DigiKey Order'!$M$23)&lt;=0),0,(MAX(0,'DigiKey Order'!$F$23*E$4+'DigiKey Order'!$H$23*E$5-'DigiKey Order'!$K$23)+'DigiKey Order'!$M$23)*IF('DigiKey Order'!$P$23&lt;&gt;"",'DigiKey Order'!$P$23,LOOKUP((MAX(0,'DigiKey Order'!$F$23*E$4+'DigiKey Order'!$H$23*E$5-'DigiKey Order'!$K$23)+'DigiKey Order'!$M$23),'DigiKey Order'!$U$23:$AB$23,'DigiKey Order'!$AC$23:$AJ$23))*(1+Settings!$B$7))</f>
        <v>0</v>
      </c>
      <c r="F26" s="19">
        <f>IF(OR('DigiKey Order'!$L$23&lt;&gt;"Y",(MAX(0,'DigiKey Order'!$F$23*F$4+'DigiKey Order'!$H$23*F$5-'DigiKey Order'!$K$23)+'DigiKey Order'!$M$23)&lt;=0),0,(MAX(0,'DigiKey Order'!$F$23*F$4+'DigiKey Order'!$H$23*F$5-'DigiKey Order'!$K$23)+'DigiKey Order'!$M$23)*IF('DigiKey Order'!$P$23&lt;&gt;"",'DigiKey Order'!$P$23,LOOKUP((MAX(0,'DigiKey Order'!$F$23*F$4+'DigiKey Order'!$H$23*F$5-'DigiKey Order'!$K$23)+'DigiKey Order'!$M$23),'DigiKey Order'!$U$23:$AB$23,'DigiKey Order'!$AC$23:$AJ$23))*(1+Settings!$B$7))</f>
        <v>0</v>
      </c>
      <c r="G26" s="19">
        <f>IF(OR('DigiKey Order'!$L$23&lt;&gt;"Y",(MAX(0,'DigiKey Order'!$F$23*G$4+'DigiKey Order'!$H$23*G$5-'DigiKey Order'!$K$23)+'DigiKey Order'!$M$23)&lt;=0),0,(MAX(0,'DigiKey Order'!$F$23*G$4+'DigiKey Order'!$H$23*G$5-'DigiKey Order'!$K$23)+'DigiKey Order'!$M$23)*IF('DigiKey Order'!$P$23&lt;&gt;"",'DigiKey Order'!$P$23,LOOKUP((MAX(0,'DigiKey Order'!$F$23*G$4+'DigiKey Order'!$H$23*G$5-'DigiKey Order'!$K$23)+'DigiKey Order'!$M$23),'DigiKey Order'!$U$23:$AB$23,'DigiKey Order'!$AC$23:$AJ$23))*(1+Settings!$B$7))</f>
        <v>0</v>
      </c>
      <c r="H26" s="19">
        <f>IF(OR('DigiKey Order'!$L$23&lt;&gt;"Y",(MAX(0,'DigiKey Order'!$F$23*H$4+'DigiKey Order'!$H$23*H$5-'DigiKey Order'!$K$23)+'DigiKey Order'!$M$23)&lt;=0),0,(MAX(0,'DigiKey Order'!$F$23*H$4+'DigiKey Order'!$H$23*H$5-'DigiKey Order'!$K$23)+'DigiKey Order'!$M$23)*IF('DigiKey Order'!$P$23&lt;&gt;"",'DigiKey Order'!$P$23,LOOKUP((MAX(0,'DigiKey Order'!$F$23*H$4+'DigiKey Order'!$H$23*H$5-'DigiKey Order'!$K$23)+'DigiKey Order'!$M$23),'DigiKey Order'!$U$23:$AB$23,'DigiKey Order'!$AC$23:$AJ$23))*(1+Settings!$B$7))</f>
        <v>0</v>
      </c>
      <c r="I26" s="19">
        <f>IF(OR('DigiKey Order'!$L$23&lt;&gt;"Y",(MAX(0,'DigiKey Order'!$F$23*I$4+'DigiKey Order'!$H$23*I$5-'DigiKey Order'!$K$23)+'DigiKey Order'!$M$23)&lt;=0),0,(MAX(0,'DigiKey Order'!$F$23*I$4+'DigiKey Order'!$H$23*I$5-'DigiKey Order'!$K$23)+'DigiKey Order'!$M$23)*IF('DigiKey Order'!$P$23&lt;&gt;"",'DigiKey Order'!$P$23,LOOKUP((MAX(0,'DigiKey Order'!$F$23*I$4+'DigiKey Order'!$H$23*I$5-'DigiKey Order'!$K$23)+'DigiKey Order'!$M$23),'DigiKey Order'!$U$23:$AB$23,'DigiKey Order'!$AC$23:$AJ$23))*(1+Settings!$B$7))</f>
        <v>0</v>
      </c>
      <c r="J26" s="19">
        <f>IF(OR('DigiKey Order'!$L$23&lt;&gt;"Y",(MAX(0,'DigiKey Order'!$F$23*J$4+'DigiKey Order'!$H$23*J$5-'DigiKey Order'!$K$23)+'DigiKey Order'!$M$23)&lt;=0),0,(MAX(0,'DigiKey Order'!$F$23*J$4+'DigiKey Order'!$H$23*J$5-'DigiKey Order'!$K$23)+'DigiKey Order'!$M$23)*IF('DigiKey Order'!$P$23&lt;&gt;"",'DigiKey Order'!$P$23,LOOKUP((MAX(0,'DigiKey Order'!$F$23*J$4+'DigiKey Order'!$H$23*J$5-'DigiKey Order'!$K$23)+'DigiKey Order'!$M$23),'DigiKey Order'!$U$23:$AB$23,'DigiKey Order'!$AC$23:$AJ$23))*(1+Settings!$B$7))</f>
        <v>0</v>
      </c>
    </row>
    <row r="28" spans="1:10" x14ac:dyDescent="0.25">
      <c r="A28" s="11" t="s">
        <v>19</v>
      </c>
      <c r="C28" s="19">
        <f t="shared" ref="C28:J28" si="0">SUM(C7:C26)</f>
        <v>456.31999999999994</v>
      </c>
      <c r="D28" s="19">
        <f t="shared" si="0"/>
        <v>514.31499999999994</v>
      </c>
      <c r="E28" s="19">
        <f t="shared" si="0"/>
        <v>581.65874999999983</v>
      </c>
      <c r="F28" s="19">
        <f t="shared" si="0"/>
        <v>655.5524999999999</v>
      </c>
      <c r="G28" s="19">
        <f t="shared" si="0"/>
        <v>696.6</v>
      </c>
      <c r="H28" s="19">
        <f t="shared" si="0"/>
        <v>770.49375000000009</v>
      </c>
      <c r="I28" s="19">
        <f t="shared" si="0"/>
        <v>844.38749999999993</v>
      </c>
      <c r="J28" s="19">
        <f t="shared" si="0"/>
        <v>918.28125</v>
      </c>
    </row>
    <row r="29" spans="1:10" x14ac:dyDescent="0.25">
      <c r="A29" s="11" t="s">
        <v>20</v>
      </c>
      <c r="C29" s="19">
        <f>IF(Settings!$B$10="excl. VAT",C28/(1+Settings!$B$7),C28)</f>
        <v>365.05599999999993</v>
      </c>
      <c r="D29" s="19">
        <f>IF(Settings!$B$10="excl. VAT",D28/(1+Settings!$B$7),D28)</f>
        <v>411.45199999999994</v>
      </c>
      <c r="E29" s="19">
        <f>IF(Settings!$B$10="excl. VAT",E28/(1+Settings!$B$7),E28)</f>
        <v>465.32699999999988</v>
      </c>
      <c r="F29" s="19">
        <f>IF(Settings!$B$10="excl. VAT",F28/(1+Settings!$B$7),F28)</f>
        <v>524.44199999999989</v>
      </c>
      <c r="G29" s="19">
        <f>IF(Settings!$B$10="excl. VAT",G28/(1+Settings!$B$7),G28)</f>
        <v>557.28</v>
      </c>
      <c r="H29" s="19">
        <f>IF(Settings!$B$10="excl. VAT",H28/(1+Settings!$B$7),H28)</f>
        <v>616.3950000000001</v>
      </c>
      <c r="I29" s="19">
        <f>IF(Settings!$B$10="excl. VAT",I28/(1+Settings!$B$7),I28)</f>
        <v>675.51</v>
      </c>
      <c r="J29" s="19">
        <f>IF(Settings!$B$10="excl. VAT",J28/(1+Settings!$B$7),J28)</f>
        <v>734.625</v>
      </c>
    </row>
    <row r="30" spans="1:10" x14ac:dyDescent="0.25">
      <c r="A30" s="11" t="s">
        <v>22</v>
      </c>
      <c r="C30" s="19">
        <f>IF(C29&gt;=Settings!$B$9,0,Settings!$B$8*IF(Settings!$B$10="excl. VAT",1+Settings!$B$7,1))</f>
        <v>231.25</v>
      </c>
      <c r="D30" s="19">
        <f>IF(D29&gt;=Settings!$B$9,0,Settings!$B$8*IF(Settings!$B$10="excl. VAT",1+Settings!$B$7,1))</f>
        <v>231.25</v>
      </c>
      <c r="E30" s="19">
        <f>IF(E29&gt;=Settings!$B$9,0,Settings!$B$8*IF(Settings!$B$10="excl. VAT",1+Settings!$B$7,1))</f>
        <v>231.25</v>
      </c>
      <c r="F30" s="19">
        <f>IF(F29&gt;=Settings!$B$9,0,Settings!$B$8*IF(Settings!$B$10="excl. VAT",1+Settings!$B$7,1))</f>
        <v>231.25</v>
      </c>
      <c r="G30" s="19">
        <f>IF(G29&gt;=Settings!$B$9,0,Settings!$B$8*IF(Settings!$B$10="excl. VAT",1+Settings!$B$7,1))</f>
        <v>0</v>
      </c>
      <c r="H30" s="19">
        <f>IF(H29&gt;=Settings!$B$9,0,Settings!$B$8*IF(Settings!$B$10="excl. VAT",1+Settings!$B$7,1))</f>
        <v>0</v>
      </c>
      <c r="I30" s="19">
        <f>IF(I29&gt;=Settings!$B$9,0,Settings!$B$8*IF(Settings!$B$10="excl. VAT",1+Settings!$B$7,1))</f>
        <v>0</v>
      </c>
      <c r="J30" s="19">
        <f>IF(J29&gt;=Settings!$B$9,0,Settings!$B$8*IF(Settings!$B$10="excl. VAT",1+Settings!$B$7,1))</f>
        <v>0</v>
      </c>
    </row>
    <row r="31" spans="1:10" x14ac:dyDescent="0.25">
      <c r="A31" s="11" t="s">
        <v>23</v>
      </c>
      <c r="C31" s="20">
        <f t="shared" ref="C31:J31" si="1">C28+C30</f>
        <v>687.56999999999994</v>
      </c>
      <c r="D31" s="20">
        <f t="shared" si="1"/>
        <v>745.56499999999994</v>
      </c>
      <c r="E31" s="20">
        <f t="shared" si="1"/>
        <v>812.90874999999983</v>
      </c>
      <c r="F31" s="20">
        <f t="shared" si="1"/>
        <v>886.8024999999999</v>
      </c>
      <c r="G31" s="20">
        <f t="shared" si="1"/>
        <v>696.6</v>
      </c>
      <c r="H31" s="20">
        <f t="shared" si="1"/>
        <v>770.49375000000009</v>
      </c>
      <c r="I31" s="20">
        <f t="shared" si="1"/>
        <v>844.38749999999993</v>
      </c>
      <c r="J31" s="20">
        <f t="shared" si="1"/>
        <v>918.28125</v>
      </c>
    </row>
    <row r="32" spans="1:10" x14ac:dyDescent="0.25">
      <c r="A32" s="11" t="s">
        <v>24</v>
      </c>
      <c r="C32" s="19">
        <f>MAX(0,Settings!$B$9-C29)*IF(Settings!$B$10="excl. VAT",1+Settings!$B$7,1)</f>
        <v>231.18000000000009</v>
      </c>
      <c r="D32" s="19">
        <f>MAX(0,Settings!$B$9-D29)*IF(Settings!$B$10="excl. VAT",1+Settings!$B$7,1)</f>
        <v>173.18500000000006</v>
      </c>
      <c r="E32" s="19">
        <f>MAX(0,Settings!$B$9-E29)*IF(Settings!$B$10="excl. VAT",1+Settings!$B$7,1)</f>
        <v>105.84125000000014</v>
      </c>
      <c r="F32" s="19">
        <f>MAX(0,Settings!$B$9-F29)*IF(Settings!$B$10="excl. VAT",1+Settings!$B$7,1)</f>
        <v>31.947500000000133</v>
      </c>
      <c r="G32" s="19">
        <f>MAX(0,Settings!$B$9-G29)*IF(Settings!$B$10="excl. VAT",1+Settings!$B$7,1)</f>
        <v>0</v>
      </c>
      <c r="H32" s="19">
        <f>MAX(0,Settings!$B$9-H29)*IF(Settings!$B$10="excl. VAT",1+Settings!$B$7,1)</f>
        <v>0</v>
      </c>
      <c r="I32" s="19">
        <f>MAX(0,Settings!$B$9-I29)*IF(Settings!$B$10="excl. VAT",1+Settings!$B$7,1)</f>
        <v>0</v>
      </c>
      <c r="J32" s="19">
        <f>MAX(0,Settings!$B$9-J29)*IF(Settings!$B$10="excl. VAT",1+Settings!$B$7,1)</f>
        <v>0</v>
      </c>
    </row>
    <row r="33" spans="1:10" x14ac:dyDescent="0.25">
      <c r="A33" s="11" t="s">
        <v>52</v>
      </c>
      <c r="C33" s="21" t="str">
        <f t="shared" ref="C33:J33" si="2">IF(C32=0,"Free",IF(C32&lt;C30,"Top up","Pay delivery"))</f>
        <v>Top up</v>
      </c>
      <c r="D33" s="21" t="str">
        <f t="shared" si="2"/>
        <v>Top up</v>
      </c>
      <c r="E33" s="21" t="str">
        <f t="shared" si="2"/>
        <v>Top up</v>
      </c>
      <c r="F33" s="21" t="str">
        <f t="shared" si="2"/>
        <v>Top up</v>
      </c>
      <c r="G33" s="21" t="str">
        <f t="shared" si="2"/>
        <v>Free</v>
      </c>
      <c r="H33" s="21" t="str">
        <f t="shared" si="2"/>
        <v>Free</v>
      </c>
      <c r="I33" s="21" t="str">
        <f t="shared" si="2"/>
        <v>Free</v>
      </c>
      <c r="J33" s="21" t="str">
        <f t="shared" si="2"/>
        <v>Free</v>
      </c>
    </row>
    <row r="34" spans="1:10" x14ac:dyDescent="0.25">
      <c r="A34" s="11" t="s">
        <v>53</v>
      </c>
      <c r="C34" s="22">
        <f t="shared" ref="C34:J34" si="3">IF(C32=0,C28,C28+C32)</f>
        <v>687.5</v>
      </c>
      <c r="D34" s="22">
        <f t="shared" si="3"/>
        <v>687.5</v>
      </c>
      <c r="E34" s="22">
        <f t="shared" si="3"/>
        <v>687.5</v>
      </c>
      <c r="F34" s="22">
        <f t="shared" si="3"/>
        <v>687.5</v>
      </c>
      <c r="G34" s="22">
        <f t="shared" si="3"/>
        <v>696.6</v>
      </c>
      <c r="H34" s="22">
        <f t="shared" si="3"/>
        <v>770.49375000000009</v>
      </c>
      <c r="I34" s="22">
        <f t="shared" si="3"/>
        <v>844.38749999999993</v>
      </c>
      <c r="J34" s="22">
        <f t="shared" si="3"/>
        <v>918.28125</v>
      </c>
    </row>
    <row r="36" spans="1:10" x14ac:dyDescent="0.25">
      <c r="A36" s="6" t="s">
        <v>54</v>
      </c>
    </row>
    <row r="37" spans="1:10" x14ac:dyDescent="0.25">
      <c r="A37" s="6" t="s">
        <v>55</v>
      </c>
    </row>
    <row r="38" spans="1:10" x14ac:dyDescent="0.25">
      <c r="A38" s="6" t="s">
        <v>56</v>
      </c>
    </row>
  </sheetData>
  <conditionalFormatting sqref="C33:J33">
    <cfRule type="expression" dxfId="4" priority="1">
      <formula>C33="Top up"</formula>
    </cfRule>
    <cfRule type="expression" dxfId="3" priority="2">
      <formula>C33="Free"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25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2" width="17" customWidth="1"/>
    <col min="3" max="3" width="26" customWidth="1"/>
    <col min="4" max="4" width="36" customWidth="1"/>
    <col min="5" max="5" width="22" customWidth="1"/>
    <col min="6" max="6" width="9" customWidth="1"/>
    <col min="7" max="7" width="16" customWidth="1"/>
    <col min="8" max="8" width="9" customWidth="1"/>
    <col min="9" max="9" width="17" customWidth="1"/>
    <col min="10" max="12" width="8" customWidth="1"/>
    <col min="13" max="13" width="7" customWidth="1"/>
    <col min="14" max="14" width="8" customWidth="1"/>
    <col min="15" max="16" width="13" customWidth="1"/>
    <col min="17" max="17" width="12" customWidth="1"/>
    <col min="18" max="18" width="13" customWidth="1"/>
    <col min="19" max="19" width="26" customWidth="1"/>
    <col min="20" max="20" width="2" customWidth="1"/>
    <col min="21" max="28" width="8" customWidth="1"/>
    <col min="29" max="36" width="12" customWidth="1"/>
  </cols>
  <sheetData>
    <row r="1" spans="1:36" ht="16.5" x14ac:dyDescent="0.25">
      <c r="A1" s="16" t="s">
        <v>57</v>
      </c>
    </row>
    <row r="2" spans="1:36" x14ac:dyDescent="0.25">
      <c r="U2" s="11" t="s">
        <v>58</v>
      </c>
    </row>
    <row r="3" spans="1:36" ht="42" customHeight="1" x14ac:dyDescent="0.25">
      <c r="A3" s="3" t="s">
        <v>49</v>
      </c>
      <c r="B3" s="3" t="s">
        <v>59</v>
      </c>
      <c r="C3" s="3" t="s">
        <v>60</v>
      </c>
      <c r="D3" s="3" t="s">
        <v>50</v>
      </c>
      <c r="E3" s="3" t="s">
        <v>61</v>
      </c>
      <c r="F3" s="3" t="s">
        <v>62</v>
      </c>
      <c r="G3" s="3" t="s">
        <v>63</v>
      </c>
      <c r="H3" s="3" t="s">
        <v>64</v>
      </c>
      <c r="I3" s="3" t="s">
        <v>65</v>
      </c>
      <c r="J3" s="3" t="s">
        <v>66</v>
      </c>
      <c r="K3" s="3" t="s">
        <v>67</v>
      </c>
      <c r="L3" s="3" t="s">
        <v>68</v>
      </c>
      <c r="M3" s="3" t="s">
        <v>69</v>
      </c>
      <c r="N3" s="3" t="s">
        <v>70</v>
      </c>
      <c r="O3" s="3" t="s">
        <v>71</v>
      </c>
      <c r="P3" s="3" t="s">
        <v>72</v>
      </c>
      <c r="Q3" s="3" t="s">
        <v>73</v>
      </c>
      <c r="R3" s="3" t="s">
        <v>74</v>
      </c>
      <c r="S3" s="3" t="s">
        <v>75</v>
      </c>
      <c r="U3" s="3" t="s">
        <v>76</v>
      </c>
      <c r="V3" s="3" t="s">
        <v>77</v>
      </c>
      <c r="W3" s="3" t="s">
        <v>78</v>
      </c>
      <c r="X3" s="3" t="s">
        <v>79</v>
      </c>
      <c r="Y3" s="3" t="s">
        <v>80</v>
      </c>
      <c r="Z3" s="3" t="s">
        <v>81</v>
      </c>
      <c r="AA3" s="3" t="s">
        <v>82</v>
      </c>
      <c r="AB3" s="3" t="s">
        <v>83</v>
      </c>
      <c r="AC3" s="3" t="s">
        <v>84</v>
      </c>
      <c r="AD3" s="3" t="s">
        <v>85</v>
      </c>
      <c r="AE3" s="3" t="s">
        <v>86</v>
      </c>
      <c r="AF3" s="3" t="s">
        <v>87</v>
      </c>
      <c r="AG3" s="3" t="s">
        <v>88</v>
      </c>
      <c r="AH3" s="3" t="s">
        <v>89</v>
      </c>
      <c r="AI3" s="3" t="s">
        <v>90</v>
      </c>
      <c r="AJ3" s="3" t="s">
        <v>91</v>
      </c>
    </row>
    <row r="4" spans="1:36" x14ac:dyDescent="0.25">
      <c r="A4" s="23" t="s">
        <v>92</v>
      </c>
      <c r="B4" s="24" t="s">
        <v>93</v>
      </c>
      <c r="C4" s="24" t="s">
        <v>94</v>
      </c>
      <c r="D4" s="24" t="s">
        <v>95</v>
      </c>
      <c r="E4" s="24" t="s">
        <v>96</v>
      </c>
      <c r="F4" s="25">
        <v>1</v>
      </c>
      <c r="G4" s="24"/>
      <c r="H4" s="25">
        <v>0</v>
      </c>
      <c r="I4" s="24" t="s">
        <v>97</v>
      </c>
      <c r="J4" s="25">
        <f>F4*Settings!$B$5+H4*Settings!$B$6</f>
        <v>2</v>
      </c>
      <c r="K4" s="26">
        <v>0</v>
      </c>
      <c r="L4" s="26" t="s">
        <v>98</v>
      </c>
      <c r="M4" s="26">
        <v>0</v>
      </c>
      <c r="N4" s="25">
        <f t="shared" ref="N4:N23" si="0">IF(L4="Y",MAX(0,J4-K4)+M4,0)</f>
        <v>0</v>
      </c>
      <c r="O4" s="27">
        <f t="shared" ref="O4:O23" si="1">LOOKUP(MAX(1,N4),$U4:$AB4,$AC4:$AJ4)</f>
        <v>3.6</v>
      </c>
      <c r="P4" s="28"/>
      <c r="Q4" s="27">
        <f>IF(P4&lt;&gt;"",P4,O4)*(1+Settings!$B$7)</f>
        <v>4.5</v>
      </c>
      <c r="R4" s="19">
        <f t="shared" ref="R4:R23" si="2">N4*Q4</f>
        <v>0</v>
      </c>
      <c r="S4" s="24" t="str">
        <f>IF(N4=0,"",IFERROR(IF(INDEX($U4:$AB4,MATCH(N4,$U4:$AB4,1)+1)="","top break",INDEX($U4:$AB4,MATCH(N4,$U4:$AB4,1)+1)&amp;" pcs = "&amp;TEXT(INDEX($U4:$AB4,MATCH(N4,$U4:$AB4,1)+1)*INDEX($AC4:$AJ4,MATCH(N4,$U4:$AB4,1)+1)*(1+Settings!$B$7),"0.00")&amp;" kr"),"top break"))</f>
        <v/>
      </c>
      <c r="U4" s="29">
        <v>1</v>
      </c>
      <c r="V4" s="29">
        <v>10</v>
      </c>
      <c r="W4" s="29">
        <v>50</v>
      </c>
      <c r="X4" s="29">
        <v>100</v>
      </c>
      <c r="Y4" s="29">
        <v>500</v>
      </c>
      <c r="Z4" s="30"/>
      <c r="AA4" s="30"/>
      <c r="AB4" s="30"/>
      <c r="AC4" s="31">
        <v>3.6</v>
      </c>
      <c r="AD4" s="31">
        <v>2.1880000000000002</v>
      </c>
      <c r="AE4" s="31">
        <v>1.631</v>
      </c>
      <c r="AF4" s="31">
        <v>1.4613</v>
      </c>
      <c r="AG4" s="31">
        <v>1.1745399999999999</v>
      </c>
      <c r="AH4" s="32"/>
      <c r="AI4" s="32"/>
      <c r="AJ4" s="32"/>
    </row>
    <row r="5" spans="1:36" x14ac:dyDescent="0.25">
      <c r="A5" s="24" t="s">
        <v>99</v>
      </c>
      <c r="B5" s="24" t="s">
        <v>93</v>
      </c>
      <c r="C5" s="24" t="s">
        <v>100</v>
      </c>
      <c r="D5" s="24" t="s">
        <v>101</v>
      </c>
      <c r="E5" s="24"/>
      <c r="F5" s="25">
        <v>0</v>
      </c>
      <c r="G5" s="24" t="s">
        <v>102</v>
      </c>
      <c r="H5" s="25">
        <v>2</v>
      </c>
      <c r="I5" s="24" t="s">
        <v>103</v>
      </c>
      <c r="J5" s="25">
        <f>F5*Settings!$B$5+H5*Settings!$B$6</f>
        <v>4</v>
      </c>
      <c r="K5" s="26">
        <v>0</v>
      </c>
      <c r="L5" s="26" t="s">
        <v>104</v>
      </c>
      <c r="M5" s="26">
        <v>6</v>
      </c>
      <c r="N5" s="25">
        <f t="shared" si="0"/>
        <v>10</v>
      </c>
      <c r="O5" s="27">
        <f t="shared" si="1"/>
        <v>0.13800000000000001</v>
      </c>
      <c r="P5" s="28"/>
      <c r="Q5" s="27">
        <f>IF(P5&lt;&gt;"",P5,O5)*(1+Settings!$B$7)</f>
        <v>0.17250000000000001</v>
      </c>
      <c r="R5" s="19">
        <f t="shared" si="2"/>
        <v>1.7250000000000001</v>
      </c>
      <c r="S5" s="24" t="str">
        <f>IF(N5=0,"",IFERROR(IF(INDEX($U5:$AB5,MATCH(N5,$U5:$AB5,1)+1)="","top break",INDEX($U5:$AB5,MATCH(N5,$U5:$AB5,1)+1)&amp;" pcs = "&amp;TEXT(INDEX($U5:$AB5,MATCH(N5,$U5:$AB5,1)+1)*INDEX($AC5:$AJ5,MATCH(N5,$U5:$AB5,1)+1)*(1+Settings!$B$7),"0.00")&amp;" kr"),"top break"))</f>
        <v>50 pcs = 5.74 kr</v>
      </c>
      <c r="U5" s="29">
        <v>1</v>
      </c>
      <c r="V5" s="29">
        <v>10</v>
      </c>
      <c r="W5" s="29">
        <v>50</v>
      </c>
      <c r="X5" s="29">
        <v>100</v>
      </c>
      <c r="Y5" s="29">
        <v>500</v>
      </c>
      <c r="Z5" s="30"/>
      <c r="AA5" s="30"/>
      <c r="AB5" s="30"/>
      <c r="AC5" s="31">
        <v>0.66</v>
      </c>
      <c r="AD5" s="31">
        <v>0.13800000000000001</v>
      </c>
      <c r="AE5" s="31">
        <v>9.1800000000000007E-2</v>
      </c>
      <c r="AF5" s="31">
        <v>7.7899999999999997E-2</v>
      </c>
      <c r="AG5" s="31">
        <v>5.398E-2</v>
      </c>
      <c r="AH5" s="32"/>
      <c r="AI5" s="32"/>
      <c r="AJ5" s="32"/>
    </row>
    <row r="6" spans="1:36" x14ac:dyDescent="0.25">
      <c r="A6" s="23" t="s">
        <v>105</v>
      </c>
      <c r="B6" s="24" t="s">
        <v>106</v>
      </c>
      <c r="C6" s="24" t="s">
        <v>107</v>
      </c>
      <c r="D6" s="24" t="s">
        <v>108</v>
      </c>
      <c r="E6" s="24" t="s">
        <v>109</v>
      </c>
      <c r="F6" s="25">
        <v>6</v>
      </c>
      <c r="G6" s="24" t="s">
        <v>110</v>
      </c>
      <c r="H6" s="25">
        <v>2</v>
      </c>
      <c r="I6" s="24" t="s">
        <v>111</v>
      </c>
      <c r="J6" s="25">
        <f>F6*Settings!$B$5+H6*Settings!$B$6</f>
        <v>16</v>
      </c>
      <c r="K6" s="26">
        <v>0</v>
      </c>
      <c r="L6" s="26" t="s">
        <v>98</v>
      </c>
      <c r="M6" s="26">
        <v>0</v>
      </c>
      <c r="N6" s="25">
        <f t="shared" si="0"/>
        <v>0</v>
      </c>
      <c r="O6" s="27">
        <f t="shared" si="1"/>
        <v>0.66</v>
      </c>
      <c r="P6" s="28"/>
      <c r="Q6" s="27">
        <f>IF(P6&lt;&gt;"",P6,O6)*(1+Settings!$B$7)</f>
        <v>0.82500000000000007</v>
      </c>
      <c r="R6" s="19">
        <f t="shared" si="2"/>
        <v>0</v>
      </c>
      <c r="S6" s="24" t="str">
        <f>IF(N6=0,"",IFERROR(IF(INDEX($U6:$AB6,MATCH(N6,$U6:$AB6,1)+1)="","top break",INDEX($U6:$AB6,MATCH(N6,$U6:$AB6,1)+1)&amp;" pcs = "&amp;TEXT(INDEX($U6:$AB6,MATCH(N6,$U6:$AB6,1)+1)*INDEX($AC6:$AJ6,MATCH(N6,$U6:$AB6,1)+1)*(1+Settings!$B$7),"0.00")&amp;" kr"),"top break"))</f>
        <v/>
      </c>
      <c r="U6" s="29">
        <v>1</v>
      </c>
      <c r="V6" s="29">
        <v>10</v>
      </c>
      <c r="W6" s="29">
        <v>25</v>
      </c>
      <c r="X6" s="29">
        <v>50</v>
      </c>
      <c r="Y6" s="29">
        <v>100</v>
      </c>
      <c r="Z6" s="29">
        <v>250</v>
      </c>
      <c r="AA6" s="29">
        <v>500</v>
      </c>
      <c r="AB6" s="29">
        <v>1000</v>
      </c>
      <c r="AC6" s="31">
        <v>0.66</v>
      </c>
      <c r="AD6" s="31">
        <v>0.13800000000000001</v>
      </c>
      <c r="AE6" s="31">
        <v>9.9599999999999994E-2</v>
      </c>
      <c r="AF6" s="31">
        <v>7.8600000000000003E-2</v>
      </c>
      <c r="AG6" s="31">
        <v>6.2899999999999998E-2</v>
      </c>
      <c r="AH6" s="31">
        <v>4.82E-2</v>
      </c>
      <c r="AI6" s="31">
        <v>3.9820000000000001E-2</v>
      </c>
      <c r="AJ6" s="31">
        <v>3.3340000000000002E-2</v>
      </c>
    </row>
    <row r="7" spans="1:36" x14ac:dyDescent="0.25">
      <c r="A7" s="24" t="s">
        <v>112</v>
      </c>
      <c r="B7" s="24" t="s">
        <v>113</v>
      </c>
      <c r="C7" s="24" t="s">
        <v>114</v>
      </c>
      <c r="D7" s="24" t="s">
        <v>115</v>
      </c>
      <c r="E7" s="24" t="s">
        <v>116</v>
      </c>
      <c r="F7" s="25">
        <v>1</v>
      </c>
      <c r="G7" s="24" t="s">
        <v>116</v>
      </c>
      <c r="H7" s="25">
        <v>1</v>
      </c>
      <c r="I7" s="24" t="s">
        <v>117</v>
      </c>
      <c r="J7" s="25">
        <f>F7*Settings!$B$5+H7*Settings!$B$6</f>
        <v>4</v>
      </c>
      <c r="K7" s="26">
        <v>0</v>
      </c>
      <c r="L7" s="26" t="s">
        <v>98</v>
      </c>
      <c r="M7" s="26">
        <v>0</v>
      </c>
      <c r="N7" s="25">
        <f t="shared" si="0"/>
        <v>0</v>
      </c>
      <c r="O7" s="27">
        <f t="shared" si="1"/>
        <v>0.92</v>
      </c>
      <c r="P7" s="28"/>
      <c r="Q7" s="27">
        <f>IF(P7&lt;&gt;"",P7,O7)*(1+Settings!$B$7)</f>
        <v>1.1500000000000001</v>
      </c>
      <c r="R7" s="19">
        <f t="shared" si="2"/>
        <v>0</v>
      </c>
      <c r="S7" s="24" t="str">
        <f>IF(N7=0,"",IFERROR(IF(INDEX($U7:$AB7,MATCH(N7,$U7:$AB7,1)+1)="","top break",INDEX($U7:$AB7,MATCH(N7,$U7:$AB7,1)+1)&amp;" pcs = "&amp;TEXT(INDEX($U7:$AB7,MATCH(N7,$U7:$AB7,1)+1)*INDEX($AC7:$AJ7,MATCH(N7,$U7:$AB7,1)+1)*(1+Settings!$B$7),"0.00")&amp;" kr"),"top break"))</f>
        <v/>
      </c>
      <c r="U7" s="29">
        <v>1</v>
      </c>
      <c r="V7" s="29">
        <v>10</v>
      </c>
      <c r="W7" s="29">
        <v>100</v>
      </c>
      <c r="X7" s="29">
        <v>500</v>
      </c>
      <c r="Y7" s="29">
        <v>1000</v>
      </c>
      <c r="Z7" s="29">
        <v>2000</v>
      </c>
      <c r="AA7" s="30"/>
      <c r="AB7" s="30"/>
      <c r="AC7" s="31">
        <v>0.92</v>
      </c>
      <c r="AD7" s="31">
        <v>0.60899999999999999</v>
      </c>
      <c r="AE7" s="31">
        <v>0.42120000000000002</v>
      </c>
      <c r="AF7" s="31">
        <v>0.33273999999999998</v>
      </c>
      <c r="AG7" s="31">
        <v>0.30326999999999998</v>
      </c>
      <c r="AH7" s="31">
        <v>0.27801999999999999</v>
      </c>
      <c r="AI7" s="32"/>
      <c r="AJ7" s="32"/>
    </row>
    <row r="8" spans="1:36" x14ac:dyDescent="0.25">
      <c r="A8" s="24" t="s">
        <v>118</v>
      </c>
      <c r="B8" s="24" t="s">
        <v>113</v>
      </c>
      <c r="C8" s="24" t="s">
        <v>119</v>
      </c>
      <c r="D8" s="24" t="s">
        <v>120</v>
      </c>
      <c r="E8" s="24"/>
      <c r="F8" s="25">
        <v>0</v>
      </c>
      <c r="G8" s="24" t="s">
        <v>121</v>
      </c>
      <c r="H8" s="25">
        <v>1</v>
      </c>
      <c r="I8" s="24" t="s">
        <v>122</v>
      </c>
      <c r="J8" s="25">
        <f>F8*Settings!$B$5+H8*Settings!$B$6</f>
        <v>2</v>
      </c>
      <c r="K8" s="26">
        <v>0</v>
      </c>
      <c r="L8" s="26" t="s">
        <v>98</v>
      </c>
      <c r="M8" s="26">
        <v>0</v>
      </c>
      <c r="N8" s="25">
        <f t="shared" si="0"/>
        <v>0</v>
      </c>
      <c r="O8" s="27">
        <f t="shared" si="1"/>
        <v>0.92</v>
      </c>
      <c r="P8" s="28"/>
      <c r="Q8" s="27">
        <f>IF(P8&lt;&gt;"",P8,O8)*(1+Settings!$B$7)</f>
        <v>1.1500000000000001</v>
      </c>
      <c r="R8" s="19">
        <f t="shared" si="2"/>
        <v>0</v>
      </c>
      <c r="S8" s="24" t="str">
        <f>IF(N8=0,"",IFERROR(IF(INDEX($U8:$AB8,MATCH(N8,$U8:$AB8,1)+1)="","top break",INDEX($U8:$AB8,MATCH(N8,$U8:$AB8,1)+1)&amp;" pcs = "&amp;TEXT(INDEX($U8:$AB8,MATCH(N8,$U8:$AB8,1)+1)*INDEX($AC8:$AJ8,MATCH(N8,$U8:$AB8,1)+1)*(1+Settings!$B$7),"0.00")&amp;" kr"),"top break"))</f>
        <v/>
      </c>
      <c r="U8" s="29">
        <v>1</v>
      </c>
      <c r="V8" s="29">
        <v>10</v>
      </c>
      <c r="W8" s="29">
        <v>100</v>
      </c>
      <c r="X8" s="29">
        <v>500</v>
      </c>
      <c r="Y8" s="29">
        <v>1000</v>
      </c>
      <c r="Z8" s="29">
        <v>2000</v>
      </c>
      <c r="AA8" s="30"/>
      <c r="AB8" s="30"/>
      <c r="AC8" s="31">
        <v>0.92</v>
      </c>
      <c r="AD8" s="31">
        <v>0.60899999999999999</v>
      </c>
      <c r="AE8" s="31">
        <v>0.42120000000000002</v>
      </c>
      <c r="AF8" s="31">
        <v>0.33273999999999998</v>
      </c>
      <c r="AG8" s="31">
        <v>0.30326999999999998</v>
      </c>
      <c r="AH8" s="31">
        <v>0.27801999999999999</v>
      </c>
      <c r="AI8" s="32"/>
      <c r="AJ8" s="32"/>
    </row>
    <row r="9" spans="1:36" x14ac:dyDescent="0.25">
      <c r="A9" s="24" t="s">
        <v>123</v>
      </c>
      <c r="B9" s="24" t="s">
        <v>124</v>
      </c>
      <c r="C9" s="24" t="s">
        <v>125</v>
      </c>
      <c r="D9" s="24" t="s">
        <v>126</v>
      </c>
      <c r="E9" s="24" t="s">
        <v>127</v>
      </c>
      <c r="F9" s="25">
        <v>3</v>
      </c>
      <c r="G9" s="24"/>
      <c r="H9" s="25">
        <v>0</v>
      </c>
      <c r="I9" s="24" t="s">
        <v>128</v>
      </c>
      <c r="J9" s="25">
        <f>F9*Settings!$B$5+H9*Settings!$B$6</f>
        <v>6</v>
      </c>
      <c r="K9" s="26">
        <v>0</v>
      </c>
      <c r="L9" s="26" t="s">
        <v>104</v>
      </c>
      <c r="M9" s="26">
        <v>0</v>
      </c>
      <c r="N9" s="25">
        <f t="shared" si="0"/>
        <v>6</v>
      </c>
      <c r="O9" s="27">
        <f t="shared" si="1"/>
        <v>18.93</v>
      </c>
      <c r="P9" s="28"/>
      <c r="Q9" s="27">
        <f>IF(P9&lt;&gt;"",P9,O9)*(1+Settings!$B$7)</f>
        <v>23.662500000000001</v>
      </c>
      <c r="R9" s="19">
        <f t="shared" si="2"/>
        <v>141.97500000000002</v>
      </c>
      <c r="S9" s="24" t="str">
        <f>IF(N9=0,"",IFERROR(IF(INDEX($U9:$AB9,MATCH(N9,$U9:$AB9,1)+1)="","top break",INDEX($U9:$AB9,MATCH(N9,$U9:$AB9,1)+1)&amp;" pcs = "&amp;TEXT(INDEX($U9:$AB9,MATCH(N9,$U9:$AB9,1)+1)*INDEX($AC9:$AJ9,MATCH(N9,$U9:$AB9,1)+1)*(1+Settings!$B$7),"0.00")&amp;" kr"),"top break"))</f>
        <v>10 pcs = 200.84 kr</v>
      </c>
      <c r="U9" s="29">
        <v>1</v>
      </c>
      <c r="V9" s="29">
        <v>10</v>
      </c>
      <c r="W9" s="29">
        <v>25</v>
      </c>
      <c r="X9" s="29">
        <v>50</v>
      </c>
      <c r="Y9" s="29">
        <v>100</v>
      </c>
      <c r="Z9" s="30"/>
      <c r="AA9" s="30"/>
      <c r="AB9" s="30"/>
      <c r="AC9" s="31">
        <v>18.93</v>
      </c>
      <c r="AD9" s="31">
        <v>16.067</v>
      </c>
      <c r="AE9" s="31">
        <v>15.0596</v>
      </c>
      <c r="AF9" s="31">
        <v>14.3392</v>
      </c>
      <c r="AG9" s="31">
        <v>13.6541</v>
      </c>
      <c r="AH9" s="32"/>
      <c r="AI9" s="32"/>
      <c r="AJ9" s="32"/>
    </row>
    <row r="10" spans="1:36" x14ac:dyDescent="0.25">
      <c r="A10" s="24" t="s">
        <v>129</v>
      </c>
      <c r="B10" s="24" t="s">
        <v>130</v>
      </c>
      <c r="C10" s="24" t="s">
        <v>131</v>
      </c>
      <c r="D10" s="24" t="s">
        <v>132</v>
      </c>
      <c r="E10" s="24" t="s">
        <v>133</v>
      </c>
      <c r="F10" s="25">
        <v>3</v>
      </c>
      <c r="G10" s="24" t="s">
        <v>134</v>
      </c>
      <c r="H10" s="25">
        <v>1</v>
      </c>
      <c r="I10" s="24" t="s">
        <v>135</v>
      </c>
      <c r="J10" s="25">
        <f>F10*Settings!$B$5+H10*Settings!$B$6</f>
        <v>8</v>
      </c>
      <c r="K10" s="26">
        <v>7</v>
      </c>
      <c r="L10" s="26" t="s">
        <v>104</v>
      </c>
      <c r="M10" s="26">
        <v>2</v>
      </c>
      <c r="N10" s="25">
        <f t="shared" si="0"/>
        <v>3</v>
      </c>
      <c r="O10" s="27">
        <f t="shared" si="1"/>
        <v>5.24</v>
      </c>
      <c r="P10" s="28"/>
      <c r="Q10" s="27">
        <f>IF(P10&lt;&gt;"",P10,O10)*(1+Settings!$B$7)</f>
        <v>6.5500000000000007</v>
      </c>
      <c r="R10" s="19">
        <f t="shared" si="2"/>
        <v>19.650000000000002</v>
      </c>
      <c r="S10" s="24" t="str">
        <f>IF(N10=0,"",IFERROR(IF(INDEX($U10:$AB10,MATCH(N10,$U10:$AB10,1)+1)="","top break",INDEX($U10:$AB10,MATCH(N10,$U10:$AB10,1)+1)&amp;" pcs = "&amp;TEXT(INDEX($U10:$AB10,MATCH(N10,$U10:$AB10,1)+1)*INDEX($AC10:$AJ10,MATCH(N10,$U10:$AB10,1)+1)*(1+Settings!$B$7),"0.00")&amp;" kr"),"top break"))</f>
        <v>10 pcs = 55.35 kr</v>
      </c>
      <c r="U10" s="29">
        <v>1</v>
      </c>
      <c r="V10" s="29">
        <v>10</v>
      </c>
      <c r="W10" s="29">
        <v>25</v>
      </c>
      <c r="X10" s="29">
        <v>50</v>
      </c>
      <c r="Y10" s="29">
        <v>100</v>
      </c>
      <c r="Z10" s="29">
        <v>250</v>
      </c>
      <c r="AA10" s="30"/>
      <c r="AB10" s="30"/>
      <c r="AC10" s="31">
        <v>5.24</v>
      </c>
      <c r="AD10" s="31">
        <v>4.4279999999999999</v>
      </c>
      <c r="AE10" s="31">
        <v>4.1500000000000004</v>
      </c>
      <c r="AF10" s="31">
        <v>3.9521999999999999</v>
      </c>
      <c r="AG10" s="31">
        <v>3.7629999999999999</v>
      </c>
      <c r="AH10" s="31">
        <v>3.52704</v>
      </c>
      <c r="AI10" s="32"/>
      <c r="AJ10" s="32"/>
    </row>
    <row r="11" spans="1:36" x14ac:dyDescent="0.25">
      <c r="A11" s="24" t="s">
        <v>136</v>
      </c>
      <c r="B11" s="24" t="s">
        <v>137</v>
      </c>
      <c r="C11" s="24" t="s">
        <v>138</v>
      </c>
      <c r="D11" s="24" t="s">
        <v>139</v>
      </c>
      <c r="E11" s="24" t="s">
        <v>140</v>
      </c>
      <c r="F11" s="25">
        <v>2</v>
      </c>
      <c r="G11" s="24"/>
      <c r="H11" s="25">
        <v>0</v>
      </c>
      <c r="I11" s="24" t="s">
        <v>141</v>
      </c>
      <c r="J11" s="25">
        <f>F11*Settings!$B$5+H11*Settings!$B$6</f>
        <v>4</v>
      </c>
      <c r="K11" s="26">
        <v>0</v>
      </c>
      <c r="L11" s="26" t="s">
        <v>104</v>
      </c>
      <c r="M11" s="26">
        <v>0</v>
      </c>
      <c r="N11" s="25">
        <f t="shared" si="0"/>
        <v>4</v>
      </c>
      <c r="O11" s="27">
        <f t="shared" si="1"/>
        <v>13.1</v>
      </c>
      <c r="P11" s="28"/>
      <c r="Q11" s="27">
        <f>IF(P11&lt;&gt;"",P11,O11)*(1+Settings!$B$7)</f>
        <v>16.375</v>
      </c>
      <c r="R11" s="19">
        <f t="shared" si="2"/>
        <v>65.5</v>
      </c>
      <c r="S11" s="24" t="str">
        <f>IF(N11=0,"",IFERROR(IF(INDEX($U11:$AB11,MATCH(N11,$U11:$AB11,1)+1)="","top break",INDEX($U11:$AB11,MATCH(N11,$U11:$AB11,1)+1)&amp;" pcs = "&amp;TEXT(INDEX($U11:$AB11,MATCH(N11,$U11:$AB11,1)+1)*INDEX($AC11:$AJ11,MATCH(N11,$U11:$AB11,1)+1)*(1+Settings!$B$7),"0.00")&amp;" kr"),"top break"))</f>
        <v>10 pcs = 144.84 kr</v>
      </c>
      <c r="U11" s="29">
        <v>1</v>
      </c>
      <c r="V11" s="29">
        <v>10</v>
      </c>
      <c r="W11" s="29">
        <v>50</v>
      </c>
      <c r="X11" s="29">
        <v>100</v>
      </c>
      <c r="Y11" s="30"/>
      <c r="Z11" s="30"/>
      <c r="AA11" s="30"/>
      <c r="AB11" s="30"/>
      <c r="AC11" s="31">
        <v>13.1</v>
      </c>
      <c r="AD11" s="31">
        <v>11.587</v>
      </c>
      <c r="AE11" s="31">
        <v>10.920199999999999</v>
      </c>
      <c r="AF11" s="31">
        <v>10.304500000000001</v>
      </c>
      <c r="AG11" s="32"/>
      <c r="AH11" s="32"/>
      <c r="AI11" s="32"/>
      <c r="AJ11" s="32"/>
    </row>
    <row r="12" spans="1:36" x14ac:dyDescent="0.25">
      <c r="A12" s="24" t="s">
        <v>142</v>
      </c>
      <c r="B12" s="24" t="s">
        <v>137</v>
      </c>
      <c r="C12" s="24" t="s">
        <v>143</v>
      </c>
      <c r="D12" s="24" t="s">
        <v>144</v>
      </c>
      <c r="E12" s="24"/>
      <c r="F12" s="25">
        <v>0</v>
      </c>
      <c r="G12" s="24" t="s">
        <v>145</v>
      </c>
      <c r="H12" s="25">
        <v>1</v>
      </c>
      <c r="I12" s="24" t="s">
        <v>146</v>
      </c>
      <c r="J12" s="25">
        <f>F12*Settings!$B$5+H12*Settings!$B$6</f>
        <v>2</v>
      </c>
      <c r="K12" s="26">
        <v>0</v>
      </c>
      <c r="L12" s="26" t="s">
        <v>98</v>
      </c>
      <c r="M12" s="26">
        <v>0</v>
      </c>
      <c r="N12" s="25">
        <f t="shared" si="0"/>
        <v>0</v>
      </c>
      <c r="O12" s="27">
        <f t="shared" si="1"/>
        <v>1.18</v>
      </c>
      <c r="P12" s="28"/>
      <c r="Q12" s="27">
        <f>IF(P12&lt;&gt;"",P12,O12)*(1+Settings!$B$7)</f>
        <v>1.4749999999999999</v>
      </c>
      <c r="R12" s="19">
        <f t="shared" si="2"/>
        <v>0</v>
      </c>
      <c r="S12" s="24" t="str">
        <f>IF(N12=0,"",IFERROR(IF(INDEX($U12:$AB12,MATCH(N12,$U12:$AB12,1)+1)="","top break",INDEX($U12:$AB12,MATCH(N12,$U12:$AB12,1)+1)&amp;" pcs = "&amp;TEXT(INDEX($U12:$AB12,MATCH(N12,$U12:$AB12,1)+1)*INDEX($AC12:$AJ12,MATCH(N12,$U12:$AB12,1)+1)*(1+Settings!$B$7),"0.00")&amp;" kr"),"top break"))</f>
        <v/>
      </c>
      <c r="U12" s="29">
        <v>1</v>
      </c>
      <c r="V12" s="29">
        <v>10</v>
      </c>
      <c r="W12" s="29">
        <v>25</v>
      </c>
      <c r="X12" s="29">
        <v>50</v>
      </c>
      <c r="Y12" s="29">
        <v>100</v>
      </c>
      <c r="Z12" s="30"/>
      <c r="AA12" s="30"/>
      <c r="AB12" s="30"/>
      <c r="AC12" s="31">
        <v>1.18</v>
      </c>
      <c r="AD12" s="31">
        <v>1.0149999999999999</v>
      </c>
      <c r="AE12" s="31">
        <v>0.84119999999999995</v>
      </c>
      <c r="AF12" s="31">
        <v>0.70340000000000003</v>
      </c>
      <c r="AG12" s="31">
        <v>0.68579999999999997</v>
      </c>
      <c r="AH12" s="32"/>
      <c r="AI12" s="32"/>
      <c r="AJ12" s="32"/>
    </row>
    <row r="13" spans="1:36" x14ac:dyDescent="0.25">
      <c r="A13" s="24" t="s">
        <v>147</v>
      </c>
      <c r="B13" s="24" t="s">
        <v>148</v>
      </c>
      <c r="C13" s="24" t="s">
        <v>149</v>
      </c>
      <c r="D13" s="24" t="s">
        <v>150</v>
      </c>
      <c r="E13" s="24" t="s">
        <v>151</v>
      </c>
      <c r="F13" s="25">
        <v>9</v>
      </c>
      <c r="G13" s="24"/>
      <c r="H13" s="25">
        <v>0</v>
      </c>
      <c r="I13" s="24" t="s">
        <v>152</v>
      </c>
      <c r="J13" s="25">
        <f>F13*Settings!$B$5+H13*Settings!$B$6</f>
        <v>18</v>
      </c>
      <c r="K13" s="26">
        <v>0</v>
      </c>
      <c r="L13" s="26" t="s">
        <v>104</v>
      </c>
      <c r="M13" s="26">
        <v>2</v>
      </c>
      <c r="N13" s="25">
        <f t="shared" si="0"/>
        <v>20</v>
      </c>
      <c r="O13" s="27">
        <f t="shared" si="1"/>
        <v>4.5460000000000003</v>
      </c>
      <c r="P13" s="28"/>
      <c r="Q13" s="27">
        <f>IF(P13&lt;&gt;"",P13,O13)*(1+Settings!$B$7)</f>
        <v>5.6825000000000001</v>
      </c>
      <c r="R13" s="19">
        <f t="shared" si="2"/>
        <v>113.65</v>
      </c>
      <c r="S13" s="24" t="str">
        <f>IF(N13=0,"",IFERROR(IF(INDEX($U13:$AB13,MATCH(N13,$U13:$AB13,1)+1)="","top break",INDEX($U13:$AB13,MATCH(N13,$U13:$AB13,1)+1)&amp;" pcs = "&amp;TEXT(INDEX($U13:$AB13,MATCH(N13,$U13:$AB13,1)+1)*INDEX($AC13:$AJ13,MATCH(N13,$U13:$AB13,1)+1)*(1+Settings!$B$7),"0.00")&amp;" kr"),"top break"))</f>
        <v>50 pcs = 209.76 kr</v>
      </c>
      <c r="U13" s="29">
        <v>1</v>
      </c>
      <c r="V13" s="29">
        <v>10</v>
      </c>
      <c r="W13" s="29">
        <v>50</v>
      </c>
      <c r="X13" s="29">
        <v>100</v>
      </c>
      <c r="Y13" s="29">
        <v>500</v>
      </c>
      <c r="Z13" s="30"/>
      <c r="AA13" s="30"/>
      <c r="AB13" s="30"/>
      <c r="AC13" s="31">
        <v>7.27</v>
      </c>
      <c r="AD13" s="31">
        <v>4.5460000000000003</v>
      </c>
      <c r="AE13" s="31">
        <v>3.3561999999999999</v>
      </c>
      <c r="AF13" s="31">
        <v>2.9704000000000002</v>
      </c>
      <c r="AG13" s="31">
        <v>2.2919800000000001</v>
      </c>
      <c r="AH13" s="32"/>
      <c r="AI13" s="32"/>
      <c r="AJ13" s="32"/>
    </row>
    <row r="14" spans="1:36" x14ac:dyDescent="0.25">
      <c r="A14" s="24" t="s">
        <v>153</v>
      </c>
      <c r="B14" s="24" t="s">
        <v>148</v>
      </c>
      <c r="C14" s="24" t="s">
        <v>154</v>
      </c>
      <c r="D14" s="24" t="s">
        <v>155</v>
      </c>
      <c r="E14" s="24" t="s">
        <v>156</v>
      </c>
      <c r="F14" s="25">
        <v>1</v>
      </c>
      <c r="G14" s="24"/>
      <c r="H14" s="25">
        <v>0</v>
      </c>
      <c r="I14" s="24" t="s">
        <v>157</v>
      </c>
      <c r="J14" s="25">
        <f>F14*Settings!$B$5+H14*Settings!$B$6</f>
        <v>2</v>
      </c>
      <c r="K14" s="26">
        <v>0</v>
      </c>
      <c r="L14" s="26" t="s">
        <v>104</v>
      </c>
      <c r="M14" s="26">
        <v>0</v>
      </c>
      <c r="N14" s="25">
        <f t="shared" si="0"/>
        <v>2</v>
      </c>
      <c r="O14" s="27">
        <f t="shared" si="1"/>
        <v>30.72</v>
      </c>
      <c r="P14" s="28"/>
      <c r="Q14" s="27">
        <f>IF(P14&lt;&gt;"",P14,O14)*(1+Settings!$B$7)</f>
        <v>38.4</v>
      </c>
      <c r="R14" s="19">
        <f t="shared" si="2"/>
        <v>76.8</v>
      </c>
      <c r="S14" s="24" t="str">
        <f>IF(N14=0,"",IFERROR(IF(INDEX($U14:$AB14,MATCH(N14,$U14:$AB14,1)+1)="","top break",INDEX($U14:$AB14,MATCH(N14,$U14:$AB14,1)+1)&amp;" pcs = "&amp;TEXT(INDEX($U14:$AB14,MATCH(N14,$U14:$AB14,1)+1)*INDEX($AC14:$AJ14,MATCH(N14,$U14:$AB14,1)+1)*(1+Settings!$B$7),"0.00")&amp;" kr"),"top break"))</f>
        <v>10 pcs = 291.80 kr</v>
      </c>
      <c r="U14" s="29">
        <v>1</v>
      </c>
      <c r="V14" s="29">
        <v>10</v>
      </c>
      <c r="W14" s="29">
        <v>25</v>
      </c>
      <c r="X14" s="29">
        <v>100</v>
      </c>
      <c r="Y14" s="29">
        <v>250</v>
      </c>
      <c r="Z14" s="30"/>
      <c r="AA14" s="30"/>
      <c r="AB14" s="30"/>
      <c r="AC14" s="31">
        <v>30.72</v>
      </c>
      <c r="AD14" s="31">
        <v>23.344000000000001</v>
      </c>
      <c r="AE14" s="31">
        <v>21.494399999999999</v>
      </c>
      <c r="AF14" s="31">
        <v>19.461400000000001</v>
      </c>
      <c r="AG14" s="31">
        <v>18.499839999999999</v>
      </c>
      <c r="AH14" s="32"/>
      <c r="AI14" s="32"/>
      <c r="AJ14" s="32"/>
    </row>
    <row r="15" spans="1:36" x14ac:dyDescent="0.25">
      <c r="A15" s="24" t="s">
        <v>158</v>
      </c>
      <c r="B15" s="24" t="s">
        <v>148</v>
      </c>
      <c r="C15" s="24" t="s">
        <v>159</v>
      </c>
      <c r="D15" s="24" t="s">
        <v>160</v>
      </c>
      <c r="E15" s="24" t="s">
        <v>161</v>
      </c>
      <c r="F15" s="25">
        <v>1</v>
      </c>
      <c r="G15" s="24" t="s">
        <v>162</v>
      </c>
      <c r="H15" s="25">
        <v>1</v>
      </c>
      <c r="I15" s="24" t="s">
        <v>163</v>
      </c>
      <c r="J15" s="25">
        <f>F15*Settings!$B$5+H15*Settings!$B$6</f>
        <v>4</v>
      </c>
      <c r="K15" s="26">
        <v>0</v>
      </c>
      <c r="L15" s="26" t="s">
        <v>104</v>
      </c>
      <c r="M15" s="26">
        <v>6</v>
      </c>
      <c r="N15" s="25">
        <f t="shared" si="0"/>
        <v>10</v>
      </c>
      <c r="O15" s="27">
        <f t="shared" si="1"/>
        <v>1.919</v>
      </c>
      <c r="P15" s="28"/>
      <c r="Q15" s="27">
        <f>IF(P15&lt;&gt;"",P15,O15)*(1+Settings!$B$7)</f>
        <v>2.3987500000000002</v>
      </c>
      <c r="R15" s="19">
        <f t="shared" si="2"/>
        <v>23.987500000000001</v>
      </c>
      <c r="S15" s="24" t="str">
        <f>IF(N15=0,"",IFERROR(IF(INDEX($U15:$AB15,MATCH(N15,$U15:$AB15,1)+1)="","top break",INDEX($U15:$AB15,MATCH(N15,$U15:$AB15,1)+1)&amp;" pcs = "&amp;TEXT(INDEX($U15:$AB15,MATCH(N15,$U15:$AB15,1)+1)*INDEX($AC15:$AJ15,MATCH(N15,$U15:$AB15,1)+1)*(1+Settings!$B$7),"0.00")&amp;" kr"),"top break"))</f>
        <v>25 pcs = 53.46 kr</v>
      </c>
      <c r="U15" s="29">
        <v>1</v>
      </c>
      <c r="V15" s="29">
        <v>10</v>
      </c>
      <c r="W15" s="29">
        <v>25</v>
      </c>
      <c r="X15" s="29">
        <v>100</v>
      </c>
      <c r="Y15" s="29">
        <v>250</v>
      </c>
      <c r="Z15" s="29">
        <v>500</v>
      </c>
      <c r="AA15" s="29">
        <v>1000</v>
      </c>
      <c r="AB15" s="30"/>
      <c r="AC15" s="31">
        <v>2.75</v>
      </c>
      <c r="AD15" s="31">
        <v>1.919</v>
      </c>
      <c r="AE15" s="31">
        <v>1.7108000000000001</v>
      </c>
      <c r="AF15" s="31">
        <v>1.4802999999999999</v>
      </c>
      <c r="AG15" s="31">
        <v>1.37052</v>
      </c>
      <c r="AH15" s="31">
        <v>1.30436</v>
      </c>
      <c r="AI15" s="31">
        <v>1.2497400000000001</v>
      </c>
      <c r="AJ15" s="32"/>
    </row>
    <row r="16" spans="1:36" x14ac:dyDescent="0.25">
      <c r="A16" s="24" t="s">
        <v>164</v>
      </c>
      <c r="B16" s="24" t="s">
        <v>165</v>
      </c>
      <c r="C16" s="24" t="s">
        <v>166</v>
      </c>
      <c r="D16" s="24" t="s">
        <v>167</v>
      </c>
      <c r="E16" s="24" t="s">
        <v>168</v>
      </c>
      <c r="F16" s="25">
        <v>1</v>
      </c>
      <c r="G16" s="24"/>
      <c r="H16" s="25">
        <v>0</v>
      </c>
      <c r="I16" s="24" t="s">
        <v>169</v>
      </c>
      <c r="J16" s="25">
        <f>F16*Settings!$B$5+H16*Settings!$B$6</f>
        <v>2</v>
      </c>
      <c r="K16" s="26">
        <v>0</v>
      </c>
      <c r="L16" s="26" t="s">
        <v>104</v>
      </c>
      <c r="M16" s="26">
        <v>1</v>
      </c>
      <c r="N16" s="25">
        <f t="shared" si="0"/>
        <v>3</v>
      </c>
      <c r="O16" s="27">
        <f t="shared" si="1"/>
        <v>9.17</v>
      </c>
      <c r="P16" s="28"/>
      <c r="Q16" s="27">
        <f>IF(P16&lt;&gt;"",P16,O16)*(1+Settings!$B$7)</f>
        <v>11.4625</v>
      </c>
      <c r="R16" s="19">
        <f t="shared" si="2"/>
        <v>34.387500000000003</v>
      </c>
      <c r="S16" s="24" t="str">
        <f>IF(N16=0,"",IFERROR(IF(INDEX($U16:$AB16,MATCH(N16,$U16:$AB16,1)+1)="","top break",INDEX($U16:$AB16,MATCH(N16,$U16:$AB16,1)+1)&amp;" pcs = "&amp;TEXT(INDEX($U16:$AB16,MATCH(N16,$U16:$AB16,1)+1)*INDEX($AC16:$AJ16,MATCH(N16,$U16:$AB16,1)+1)*(1+Settings!$B$7),"0.00")&amp;" kr"),"top break"))</f>
        <v>10 pcs = 83.26 kr</v>
      </c>
      <c r="U16" s="29">
        <v>1</v>
      </c>
      <c r="V16" s="29">
        <v>10</v>
      </c>
      <c r="W16" s="29">
        <v>50</v>
      </c>
      <c r="X16" s="29">
        <v>100</v>
      </c>
      <c r="Y16" s="29">
        <v>490</v>
      </c>
      <c r="Z16" s="29">
        <v>980</v>
      </c>
      <c r="AA16" s="30"/>
      <c r="AB16" s="30"/>
      <c r="AC16" s="31">
        <v>9.17</v>
      </c>
      <c r="AD16" s="31">
        <v>6.6609999999999996</v>
      </c>
      <c r="AE16" s="31">
        <v>5.6433999999999997</v>
      </c>
      <c r="AF16" s="31">
        <v>5.3296999999999999</v>
      </c>
      <c r="AG16" s="31">
        <v>4.8023499999999997</v>
      </c>
      <c r="AH16" s="31">
        <v>4.6365999999999996</v>
      </c>
      <c r="AI16" s="32"/>
      <c r="AJ16" s="32"/>
    </row>
    <row r="17" spans="1:36" x14ac:dyDescent="0.25">
      <c r="A17" s="24" t="s">
        <v>170</v>
      </c>
      <c r="B17" s="24" t="s">
        <v>165</v>
      </c>
      <c r="C17" s="24" t="s">
        <v>171</v>
      </c>
      <c r="D17" s="24" t="s">
        <v>172</v>
      </c>
      <c r="E17" s="24"/>
      <c r="F17" s="25">
        <v>0</v>
      </c>
      <c r="G17" s="24" t="s">
        <v>173</v>
      </c>
      <c r="H17" s="25">
        <v>1</v>
      </c>
      <c r="I17" s="33" t="s">
        <v>174</v>
      </c>
      <c r="J17" s="25">
        <f>F17*Settings!$B$5+H17*Settings!$B$6</f>
        <v>2</v>
      </c>
      <c r="K17" s="26">
        <v>0</v>
      </c>
      <c r="L17" s="26" t="s">
        <v>104</v>
      </c>
      <c r="M17" s="26">
        <v>0</v>
      </c>
      <c r="N17" s="25">
        <f t="shared" si="0"/>
        <v>2</v>
      </c>
      <c r="O17" s="27">
        <f t="shared" si="1"/>
        <v>47.82</v>
      </c>
      <c r="P17" s="28"/>
      <c r="Q17" s="27">
        <f>IF(P17&lt;&gt;"",P17,O17)*(1+Settings!$B$7)</f>
        <v>59.774999999999999</v>
      </c>
      <c r="R17" s="19">
        <f t="shared" si="2"/>
        <v>119.55</v>
      </c>
      <c r="S17" s="24" t="str">
        <f>IF(N17=0,"",IFERROR(IF(INDEX($U17:$AB17,MATCH(N17,$U17:$AB17,1)+1)="","top break",INDEX($U17:$AB17,MATCH(N17,$U17:$AB17,1)+1)&amp;" pcs = "&amp;TEXT(INDEX($U17:$AB17,MATCH(N17,$U17:$AB17,1)+1)*INDEX($AC17:$AJ17,MATCH(N17,$U17:$AB17,1)+1)*(1+Settings!$B$7),"0.00")&amp;" kr"),"top break"))</f>
        <v>10 pcs = 459.40 kr</v>
      </c>
      <c r="U17" s="29">
        <v>1</v>
      </c>
      <c r="V17" s="29">
        <v>10</v>
      </c>
      <c r="W17" s="29">
        <v>50</v>
      </c>
      <c r="X17" s="29">
        <v>100</v>
      </c>
      <c r="Y17" s="29">
        <v>500</v>
      </c>
      <c r="Z17" s="30"/>
      <c r="AA17" s="30"/>
      <c r="AB17" s="30"/>
      <c r="AC17" s="31">
        <v>47.82</v>
      </c>
      <c r="AD17" s="31">
        <v>36.752000000000002</v>
      </c>
      <c r="AE17" s="31">
        <v>32.309800000000003</v>
      </c>
      <c r="AF17" s="31">
        <v>30.933700000000002</v>
      </c>
      <c r="AG17" s="31">
        <v>28.605419999999999</v>
      </c>
      <c r="AH17" s="32"/>
      <c r="AI17" s="32"/>
      <c r="AJ17" s="32"/>
    </row>
    <row r="18" spans="1:36" x14ac:dyDescent="0.25">
      <c r="A18" s="23" t="s">
        <v>175</v>
      </c>
      <c r="B18" s="24" t="s">
        <v>165</v>
      </c>
      <c r="C18" s="24" t="s">
        <v>176</v>
      </c>
      <c r="D18" s="24" t="s">
        <v>177</v>
      </c>
      <c r="E18" s="24" t="s">
        <v>178</v>
      </c>
      <c r="F18" s="25">
        <v>6</v>
      </c>
      <c r="G18" s="24" t="s">
        <v>179</v>
      </c>
      <c r="H18" s="25">
        <v>1</v>
      </c>
      <c r="I18" s="24" t="s">
        <v>180</v>
      </c>
      <c r="J18" s="25">
        <f>F18*Settings!$B$5+H18*Settings!$B$6</f>
        <v>14</v>
      </c>
      <c r="K18" s="26">
        <v>17</v>
      </c>
      <c r="L18" s="26" t="s">
        <v>104</v>
      </c>
      <c r="M18" s="26">
        <v>0</v>
      </c>
      <c r="N18" s="25">
        <f t="shared" si="0"/>
        <v>0</v>
      </c>
      <c r="O18" s="27">
        <f t="shared" si="1"/>
        <v>3.54</v>
      </c>
      <c r="P18" s="28"/>
      <c r="Q18" s="27">
        <f>IF(P18&lt;&gt;"",P18,O18)*(1+Settings!$B$7)</f>
        <v>4.4249999999999998</v>
      </c>
      <c r="R18" s="19">
        <f t="shared" si="2"/>
        <v>0</v>
      </c>
      <c r="S18" s="24" t="str">
        <f>IF(N18=0,"",IFERROR(IF(INDEX($U18:$AB18,MATCH(N18,$U18:$AB18,1)+1)="","top break",INDEX($U18:$AB18,MATCH(N18,$U18:$AB18,1)+1)&amp;" pcs = "&amp;TEXT(INDEX($U18:$AB18,MATCH(N18,$U18:$AB18,1)+1)*INDEX($AC18:$AJ18,MATCH(N18,$U18:$AB18,1)+1)*(1+Settings!$B$7),"0.00")&amp;" kr"),"top break"))</f>
        <v/>
      </c>
      <c r="U18" s="29">
        <v>1</v>
      </c>
      <c r="V18" s="29">
        <v>10</v>
      </c>
      <c r="W18" s="29">
        <v>50</v>
      </c>
      <c r="X18" s="29">
        <v>100</v>
      </c>
      <c r="Y18" s="29">
        <v>500</v>
      </c>
      <c r="Z18" s="30"/>
      <c r="AA18" s="30"/>
      <c r="AB18" s="30"/>
      <c r="AC18" s="31">
        <v>3.54</v>
      </c>
      <c r="AD18" s="31">
        <v>2.1549999999999998</v>
      </c>
      <c r="AE18" s="31">
        <v>1.5616000000000001</v>
      </c>
      <c r="AF18" s="31">
        <v>1.3675999999999999</v>
      </c>
      <c r="AG18" s="31">
        <v>1.02586</v>
      </c>
      <c r="AH18" s="32"/>
      <c r="AI18" s="32"/>
      <c r="AJ18" s="32"/>
    </row>
    <row r="19" spans="1:36" x14ac:dyDescent="0.25">
      <c r="A19" s="23" t="s">
        <v>181</v>
      </c>
      <c r="B19" s="24" t="s">
        <v>148</v>
      </c>
      <c r="C19" s="24" t="s">
        <v>182</v>
      </c>
      <c r="D19" s="24" t="s">
        <v>183</v>
      </c>
      <c r="E19" s="24" t="s">
        <v>184</v>
      </c>
      <c r="F19" s="25">
        <v>1</v>
      </c>
      <c r="G19" s="24"/>
      <c r="H19" s="25">
        <v>0</v>
      </c>
      <c r="I19" s="24" t="s">
        <v>185</v>
      </c>
      <c r="J19" s="25">
        <f>F19*Settings!$B$5+H19*Settings!$B$6</f>
        <v>2</v>
      </c>
      <c r="K19" s="26">
        <v>0</v>
      </c>
      <c r="L19" s="26" t="s">
        <v>104</v>
      </c>
      <c r="M19" s="26">
        <v>2</v>
      </c>
      <c r="N19" s="25">
        <f t="shared" si="0"/>
        <v>4</v>
      </c>
      <c r="O19" s="27">
        <f t="shared" si="1"/>
        <v>7.14</v>
      </c>
      <c r="P19" s="28"/>
      <c r="Q19" s="27">
        <f>IF(P19&lt;&gt;"",P19,O19)*(1+Settings!$B$7)</f>
        <v>8.9249999999999989</v>
      </c>
      <c r="R19" s="19">
        <f t="shared" si="2"/>
        <v>35.699999999999996</v>
      </c>
      <c r="S19" s="24" t="str">
        <f>IF(N19=0,"",IFERROR(IF(INDEX($U19:$AB19,MATCH(N19,$U19:$AB19,1)+1)="","top break",INDEX($U19:$AB19,MATCH(N19,$U19:$AB19,1)+1)&amp;" pcs = "&amp;TEXT(INDEX($U19:$AB19,MATCH(N19,$U19:$AB19,1)+1)*INDEX($AC19:$AJ19,MATCH(N19,$U19:$AB19,1)+1)*(1+Settings!$B$7),"0.00")&amp;" kr"),"top break"))</f>
        <v>10 pcs = 64.35 kr</v>
      </c>
      <c r="U19" s="29">
        <v>1</v>
      </c>
      <c r="V19" s="29">
        <v>10</v>
      </c>
      <c r="W19" s="29">
        <v>25</v>
      </c>
      <c r="X19" s="29">
        <v>100</v>
      </c>
      <c r="Y19" s="29">
        <v>250</v>
      </c>
      <c r="Z19" s="29">
        <v>500</v>
      </c>
      <c r="AA19" s="29">
        <v>1000</v>
      </c>
      <c r="AB19" s="30"/>
      <c r="AC19" s="31">
        <v>7.14</v>
      </c>
      <c r="AD19" s="31">
        <v>5.1479999999999997</v>
      </c>
      <c r="AE19" s="31">
        <v>4.6479999999999997</v>
      </c>
      <c r="AF19" s="31">
        <v>4.0990000000000002</v>
      </c>
      <c r="AG19" s="31">
        <v>3.83724</v>
      </c>
      <c r="AH19" s="31">
        <v>3.6796600000000002</v>
      </c>
      <c r="AI19" s="31">
        <v>3.5876999999999999</v>
      </c>
      <c r="AJ19" s="32"/>
    </row>
    <row r="20" spans="1:36" x14ac:dyDescent="0.25">
      <c r="A20" s="24" t="s">
        <v>186</v>
      </c>
      <c r="B20" s="24" t="s">
        <v>187</v>
      </c>
      <c r="C20" s="24" t="s">
        <v>188</v>
      </c>
      <c r="D20" s="24" t="s">
        <v>189</v>
      </c>
      <c r="E20" s="24" t="s">
        <v>190</v>
      </c>
      <c r="F20" s="25">
        <v>1</v>
      </c>
      <c r="G20" s="24"/>
      <c r="H20" s="25">
        <v>0</v>
      </c>
      <c r="I20" s="24" t="s">
        <v>191</v>
      </c>
      <c r="J20" s="25">
        <f>F20*Settings!$B$5+H20*Settings!$B$6</f>
        <v>2</v>
      </c>
      <c r="K20" s="26">
        <v>0</v>
      </c>
      <c r="L20" s="26" t="s">
        <v>104</v>
      </c>
      <c r="M20" s="26">
        <v>0</v>
      </c>
      <c r="N20" s="25">
        <f t="shared" si="0"/>
        <v>2</v>
      </c>
      <c r="O20" s="27">
        <f t="shared" si="1"/>
        <v>16.239999999999998</v>
      </c>
      <c r="P20" s="28"/>
      <c r="Q20" s="27">
        <f>IF(P20&lt;&gt;"",P20,O20)*(1+Settings!$B$7)</f>
        <v>20.299999999999997</v>
      </c>
      <c r="R20" s="19">
        <f t="shared" si="2"/>
        <v>40.599999999999994</v>
      </c>
      <c r="S20" s="24" t="str">
        <f>IF(N20=0,"",IFERROR(IF(INDEX($U20:$AB20,MATCH(N20,$U20:$AB20,1)+1)="","top break",INDEX($U20:$AB20,MATCH(N20,$U20:$AB20,1)+1)&amp;" pcs = "&amp;TEXT(INDEX($U20:$AB20,MATCH(N20,$U20:$AB20,1)+1)*INDEX($AC20:$AJ20,MATCH(N20,$U20:$AB20,1)+1)*(1+Settings!$B$7),"0.00")&amp;" kr"),"top break"))</f>
        <v>25 pcs = 501.08 kr</v>
      </c>
      <c r="U20" s="29">
        <v>1</v>
      </c>
      <c r="V20" s="29">
        <v>25</v>
      </c>
      <c r="W20" s="30"/>
      <c r="X20" s="30"/>
      <c r="Y20" s="30"/>
      <c r="Z20" s="30"/>
      <c r="AA20" s="30"/>
      <c r="AB20" s="30"/>
      <c r="AC20" s="31">
        <v>16.239999999999998</v>
      </c>
      <c r="AD20" s="31">
        <v>16.034400000000002</v>
      </c>
      <c r="AE20" s="32"/>
      <c r="AF20" s="32"/>
      <c r="AG20" s="32"/>
      <c r="AH20" s="32"/>
      <c r="AI20" s="32"/>
      <c r="AJ20" s="32"/>
    </row>
    <row r="21" spans="1:36" x14ac:dyDescent="0.25">
      <c r="A21" s="24" t="s">
        <v>192</v>
      </c>
      <c r="B21" s="24" t="s">
        <v>193</v>
      </c>
      <c r="C21" s="24" t="s">
        <v>194</v>
      </c>
      <c r="D21" s="24" t="s">
        <v>195</v>
      </c>
      <c r="E21" s="24" t="s">
        <v>196</v>
      </c>
      <c r="F21" s="25">
        <v>1</v>
      </c>
      <c r="G21" s="24"/>
      <c r="H21" s="25">
        <v>0</v>
      </c>
      <c r="I21" s="24" t="s">
        <v>197</v>
      </c>
      <c r="J21" s="25">
        <f>F21*Settings!$B$5+H21*Settings!$B$6</f>
        <v>2</v>
      </c>
      <c r="K21" s="26">
        <v>0</v>
      </c>
      <c r="L21" s="26" t="s">
        <v>104</v>
      </c>
      <c r="M21" s="26">
        <v>0</v>
      </c>
      <c r="N21" s="25">
        <f t="shared" si="0"/>
        <v>2</v>
      </c>
      <c r="O21" s="27">
        <f t="shared" si="1"/>
        <v>5.37</v>
      </c>
      <c r="P21" s="28"/>
      <c r="Q21" s="27">
        <f>IF(P21&lt;&gt;"",P21,O21)*(1+Settings!$B$7)</f>
        <v>6.7125000000000004</v>
      </c>
      <c r="R21" s="19">
        <f t="shared" si="2"/>
        <v>13.425000000000001</v>
      </c>
      <c r="S21" s="24" t="str">
        <f>IF(N21=0,"",IFERROR(IF(INDEX($U21:$AB21,MATCH(N21,$U21:$AB21,1)+1)="","top break",INDEX($U21:$AB21,MATCH(N21,$U21:$AB21,1)+1)&amp;" pcs = "&amp;TEXT(INDEX($U21:$AB21,MATCH(N21,$U21:$AB21,1)+1)*INDEX($AC21:$AJ21,MATCH(N21,$U21:$AB21,1)+1)*(1+Settings!$B$7),"0.00")&amp;" kr"),"top break"))</f>
        <v>10 pcs = 58.46 kr</v>
      </c>
      <c r="U21" s="29">
        <v>1</v>
      </c>
      <c r="V21" s="29">
        <v>10</v>
      </c>
      <c r="W21" s="29">
        <v>25</v>
      </c>
      <c r="X21" s="29">
        <v>50</v>
      </c>
      <c r="Y21" s="29">
        <v>100</v>
      </c>
      <c r="Z21" s="30"/>
      <c r="AA21" s="30"/>
      <c r="AB21" s="30"/>
      <c r="AC21" s="31">
        <v>5.37</v>
      </c>
      <c r="AD21" s="31">
        <v>4.6769999999999996</v>
      </c>
      <c r="AE21" s="31">
        <v>4.42</v>
      </c>
      <c r="AF21" s="31">
        <v>4.2378</v>
      </c>
      <c r="AG21" s="31">
        <v>4.0622999999999996</v>
      </c>
      <c r="AH21" s="32"/>
      <c r="AI21" s="32"/>
      <c r="AJ21" s="32"/>
    </row>
    <row r="22" spans="1:36" x14ac:dyDescent="0.25">
      <c r="A22" s="24" t="s">
        <v>198</v>
      </c>
      <c r="B22" s="24" t="s">
        <v>199</v>
      </c>
      <c r="C22" s="24" t="s">
        <v>200</v>
      </c>
      <c r="D22" s="24" t="s">
        <v>201</v>
      </c>
      <c r="E22" s="24"/>
      <c r="F22" s="25">
        <v>0</v>
      </c>
      <c r="G22" s="24" t="s">
        <v>196</v>
      </c>
      <c r="H22" s="25">
        <v>1</v>
      </c>
      <c r="I22" s="24" t="s">
        <v>202</v>
      </c>
      <c r="J22" s="25">
        <f>F22*Settings!$B$5+H22*Settings!$B$6</f>
        <v>2</v>
      </c>
      <c r="K22" s="26">
        <v>0</v>
      </c>
      <c r="L22" s="26" t="s">
        <v>104</v>
      </c>
      <c r="M22" s="26">
        <v>0</v>
      </c>
      <c r="N22" s="25">
        <f t="shared" si="0"/>
        <v>2</v>
      </c>
      <c r="O22" s="27">
        <f t="shared" si="1"/>
        <v>3.86</v>
      </c>
      <c r="P22" s="28"/>
      <c r="Q22" s="27">
        <f>IF(P22&lt;&gt;"",P22,O22)*(1+Settings!$B$7)</f>
        <v>4.8250000000000002</v>
      </c>
      <c r="R22" s="19">
        <f t="shared" si="2"/>
        <v>9.65</v>
      </c>
      <c r="S22" s="24" t="str">
        <f>IF(N22=0,"",IFERROR(IF(INDEX($U22:$AB22,MATCH(N22,$U22:$AB22,1)+1)="","top break",INDEX($U22:$AB22,MATCH(N22,$U22:$AB22,1)+1)&amp;" pcs = "&amp;TEXT(INDEX($U22:$AB22,MATCH(N22,$U22:$AB22,1)+1)*INDEX($AC22:$AJ22,MATCH(N22,$U22:$AB22,1)+1)*(1+Settings!$B$7),"0.00")&amp;" kr"),"top break"))</f>
        <v>10 pcs = 41.84 kr</v>
      </c>
      <c r="U22" s="29">
        <v>1</v>
      </c>
      <c r="V22" s="29">
        <v>10</v>
      </c>
      <c r="W22" s="29">
        <v>25</v>
      </c>
      <c r="X22" s="29">
        <v>50</v>
      </c>
      <c r="Y22" s="29">
        <v>100</v>
      </c>
      <c r="Z22" s="29">
        <v>250</v>
      </c>
      <c r="AA22" s="29">
        <v>500</v>
      </c>
      <c r="AB22" s="30"/>
      <c r="AC22" s="31">
        <v>3.86</v>
      </c>
      <c r="AD22" s="31">
        <v>3.347</v>
      </c>
      <c r="AE22" s="31">
        <v>3.1676000000000002</v>
      </c>
      <c r="AF22" s="31">
        <v>3.0377999999999998</v>
      </c>
      <c r="AG22" s="31">
        <v>2.9115000000000002</v>
      </c>
      <c r="AH22" s="31">
        <v>2.7536399999999999</v>
      </c>
      <c r="AI22" s="31">
        <v>2.6395200000000001</v>
      </c>
      <c r="AJ22" s="32"/>
    </row>
    <row r="23" spans="1:36" x14ac:dyDescent="0.25">
      <c r="A23" s="33" t="s">
        <v>203</v>
      </c>
      <c r="B23" s="33" t="s">
        <v>204</v>
      </c>
      <c r="C23" s="33" t="s">
        <v>205</v>
      </c>
      <c r="D23" s="33" t="s">
        <v>206</v>
      </c>
      <c r="E23" s="24" t="s">
        <v>110</v>
      </c>
      <c r="F23" s="25">
        <v>2</v>
      </c>
      <c r="G23" s="24"/>
      <c r="H23" s="25">
        <v>0</v>
      </c>
      <c r="I23" s="24" t="s">
        <v>207</v>
      </c>
      <c r="J23" s="25">
        <f>F23*Settings!$B$5+H23*Settings!$B$6</f>
        <v>4</v>
      </c>
      <c r="K23" s="26">
        <v>0</v>
      </c>
      <c r="L23" s="26" t="s">
        <v>98</v>
      </c>
      <c r="M23" s="26">
        <v>0</v>
      </c>
      <c r="N23" s="25">
        <f t="shared" si="0"/>
        <v>0</v>
      </c>
      <c r="O23" s="27">
        <f t="shared" si="1"/>
        <v>0.66</v>
      </c>
      <c r="P23" s="28"/>
      <c r="Q23" s="27">
        <f>IF(P23&lt;&gt;"",P23,O23)*(1+Settings!$B$7)</f>
        <v>0.82500000000000007</v>
      </c>
      <c r="R23" s="19">
        <f t="shared" si="2"/>
        <v>0</v>
      </c>
      <c r="S23" s="24" t="str">
        <f>IF(N23=0,"",IFERROR(IF(INDEX($U23:$AB23,MATCH(N23,$U23:$AB23,1)+1)="","top break",INDEX($U23:$AB23,MATCH(N23,$U23:$AB23,1)+1)&amp;" pcs = "&amp;TEXT(INDEX($U23:$AB23,MATCH(N23,$U23:$AB23,1)+1)*INDEX($AC23:$AJ23,MATCH(N23,$U23:$AB23,1)+1)*(1+Settings!$B$7),"0.00")&amp;" kr"),"top break"))</f>
        <v/>
      </c>
      <c r="U23" s="29">
        <v>1</v>
      </c>
      <c r="V23" s="29">
        <v>10</v>
      </c>
      <c r="W23" s="29">
        <v>25</v>
      </c>
      <c r="X23" s="29">
        <v>50</v>
      </c>
      <c r="Y23" s="29">
        <v>100</v>
      </c>
      <c r="Z23" s="29">
        <v>250</v>
      </c>
      <c r="AA23" s="29">
        <v>500</v>
      </c>
      <c r="AB23" s="29">
        <v>1000</v>
      </c>
      <c r="AC23" s="31">
        <v>0.66</v>
      </c>
      <c r="AD23" s="31">
        <v>0.13800000000000001</v>
      </c>
      <c r="AE23" s="31">
        <v>9.9599999999999994E-2</v>
      </c>
      <c r="AF23" s="31">
        <v>7.8600000000000003E-2</v>
      </c>
      <c r="AG23" s="31">
        <v>6.3500000000000001E-2</v>
      </c>
      <c r="AH23" s="31">
        <v>4.8480000000000002E-2</v>
      </c>
      <c r="AI23" s="31">
        <v>4.0079999999999998E-2</v>
      </c>
      <c r="AJ23" s="31">
        <v>3.354E-2</v>
      </c>
    </row>
    <row r="25" spans="1:36" x14ac:dyDescent="0.25">
      <c r="Q25" s="11" t="s">
        <v>208</v>
      </c>
      <c r="R25" s="12">
        <f>SUM(R4:R23)</f>
        <v>696.6</v>
      </c>
    </row>
  </sheetData>
  <autoFilter ref="A3:S23" xr:uid="{00000000-0009-0000-0000-000002000000}"/>
  <conditionalFormatting sqref="A4:S23">
    <cfRule type="expression" dxfId="2" priority="1">
      <formula>OR($L4="N",$N4=0)</formula>
    </cfRule>
  </conditionalFormatting>
  <dataValidations count="1">
    <dataValidation type="list" sqref="L4:L23" xr:uid="{00000000-0002-0000-0200-000000000000}">
      <formula1>"Y,N"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0" customWidth="1"/>
    <col min="2" max="2" width="13" customWidth="1"/>
    <col min="3" max="3" width="20" customWidth="1"/>
    <col min="4" max="4" width="34" customWidth="1"/>
    <col min="5" max="5" width="9" customWidth="1"/>
    <col min="6" max="6" width="18" customWidth="1"/>
    <col min="7" max="7" width="9" customWidth="1"/>
    <col min="8" max="8" width="10" customWidth="1"/>
    <col min="9" max="9" width="9" customWidth="1"/>
    <col min="10" max="10" width="8" customWidth="1"/>
  </cols>
  <sheetData>
    <row r="1" spans="1:10" ht="16.5" x14ac:dyDescent="0.25">
      <c r="A1" s="16" t="s">
        <v>209</v>
      </c>
    </row>
    <row r="3" spans="1:10" ht="30" customHeight="1" x14ac:dyDescent="0.25">
      <c r="A3" s="3" t="s">
        <v>210</v>
      </c>
      <c r="B3" s="3" t="s">
        <v>3</v>
      </c>
      <c r="C3" s="3" t="s">
        <v>211</v>
      </c>
      <c r="D3" s="3" t="s">
        <v>61</v>
      </c>
      <c r="E3" s="3" t="s">
        <v>62</v>
      </c>
      <c r="F3" s="3" t="s">
        <v>63</v>
      </c>
      <c r="G3" s="3" t="s">
        <v>64</v>
      </c>
      <c r="H3" s="3" t="s">
        <v>212</v>
      </c>
      <c r="I3" s="3" t="s">
        <v>213</v>
      </c>
      <c r="J3" s="3" t="s">
        <v>214</v>
      </c>
    </row>
    <row r="4" spans="1:10" x14ac:dyDescent="0.25">
      <c r="A4" s="24" t="s">
        <v>215</v>
      </c>
      <c r="B4" s="24" t="s">
        <v>216</v>
      </c>
      <c r="C4" s="24" t="s">
        <v>217</v>
      </c>
      <c r="D4" s="24" t="s">
        <v>218</v>
      </c>
      <c r="E4" s="25">
        <v>26</v>
      </c>
      <c r="F4" s="24" t="s">
        <v>219</v>
      </c>
      <c r="G4" s="25">
        <v>6</v>
      </c>
      <c r="H4" s="34">
        <f>E4*Settings!$B$5+G4*Settings!$B$6</f>
        <v>64</v>
      </c>
      <c r="I4" s="26"/>
      <c r="J4" s="25" t="str">
        <f t="shared" ref="J4:J14" si="0">IF(I4="","",MAX(0,H4-I4))</f>
        <v/>
      </c>
    </row>
    <row r="5" spans="1:10" x14ac:dyDescent="0.25">
      <c r="A5" s="24" t="s">
        <v>220</v>
      </c>
      <c r="B5" s="24" t="s">
        <v>221</v>
      </c>
      <c r="C5" s="24" t="s">
        <v>217</v>
      </c>
      <c r="D5" s="24" t="s">
        <v>222</v>
      </c>
      <c r="E5" s="25">
        <v>2</v>
      </c>
      <c r="F5" s="24"/>
      <c r="G5" s="25">
        <v>0</v>
      </c>
      <c r="H5" s="34">
        <f>E5*Settings!$B$5+G5*Settings!$B$6</f>
        <v>4</v>
      </c>
      <c r="I5" s="26"/>
      <c r="J5" s="25" t="str">
        <f t="shared" si="0"/>
        <v/>
      </c>
    </row>
    <row r="6" spans="1:10" x14ac:dyDescent="0.25">
      <c r="A6" s="24" t="s">
        <v>223</v>
      </c>
      <c r="B6" s="24" t="s">
        <v>224</v>
      </c>
      <c r="C6" s="24" t="s">
        <v>217</v>
      </c>
      <c r="D6" s="24" t="s">
        <v>225</v>
      </c>
      <c r="E6" s="25">
        <v>2</v>
      </c>
      <c r="F6" s="24"/>
      <c r="G6" s="25">
        <v>0</v>
      </c>
      <c r="H6" s="34">
        <f>E6*Settings!$B$5+G6*Settings!$B$6</f>
        <v>4</v>
      </c>
      <c r="I6" s="26"/>
      <c r="J6" s="25" t="str">
        <f t="shared" si="0"/>
        <v/>
      </c>
    </row>
    <row r="7" spans="1:10" x14ac:dyDescent="0.25">
      <c r="A7" s="24" t="s">
        <v>226</v>
      </c>
      <c r="B7" s="24" t="s">
        <v>227</v>
      </c>
      <c r="C7" s="24" t="s">
        <v>228</v>
      </c>
      <c r="D7" s="24"/>
      <c r="E7" s="25">
        <v>0</v>
      </c>
      <c r="F7" s="24" t="s">
        <v>229</v>
      </c>
      <c r="G7" s="25">
        <v>2</v>
      </c>
      <c r="H7" s="34">
        <f>E7*Settings!$B$5+G7*Settings!$B$6</f>
        <v>4</v>
      </c>
      <c r="I7" s="26"/>
      <c r="J7" s="25" t="str">
        <f t="shared" si="0"/>
        <v/>
      </c>
    </row>
    <row r="8" spans="1:10" x14ac:dyDescent="0.25">
      <c r="A8" s="24" t="s">
        <v>230</v>
      </c>
      <c r="B8" s="24" t="s">
        <v>231</v>
      </c>
      <c r="C8" s="24" t="s">
        <v>232</v>
      </c>
      <c r="D8" s="24" t="s">
        <v>233</v>
      </c>
      <c r="E8" s="25">
        <v>14</v>
      </c>
      <c r="F8" s="24" t="s">
        <v>234</v>
      </c>
      <c r="G8" s="25">
        <v>7</v>
      </c>
      <c r="H8" s="34">
        <f>E8*Settings!$B$5+G8*Settings!$B$6</f>
        <v>42</v>
      </c>
      <c r="I8" s="26"/>
      <c r="J8" s="25" t="str">
        <f t="shared" si="0"/>
        <v/>
      </c>
    </row>
    <row r="9" spans="1:10" x14ac:dyDescent="0.25">
      <c r="A9" s="24" t="s">
        <v>235</v>
      </c>
      <c r="B9" s="24" t="s">
        <v>236</v>
      </c>
      <c r="C9" s="24" t="s">
        <v>232</v>
      </c>
      <c r="D9" s="24" t="s">
        <v>237</v>
      </c>
      <c r="E9" s="25">
        <v>6</v>
      </c>
      <c r="F9" s="24"/>
      <c r="G9" s="25">
        <v>0</v>
      </c>
      <c r="H9" s="34">
        <f>E9*Settings!$B$5+G9*Settings!$B$6</f>
        <v>12</v>
      </c>
      <c r="I9" s="26"/>
      <c r="J9" s="25" t="str">
        <f t="shared" si="0"/>
        <v/>
      </c>
    </row>
    <row r="10" spans="1:10" x14ac:dyDescent="0.25">
      <c r="A10" s="24" t="s">
        <v>238</v>
      </c>
      <c r="B10" s="24" t="s">
        <v>239</v>
      </c>
      <c r="C10" s="24" t="s">
        <v>232</v>
      </c>
      <c r="D10" s="24" t="s">
        <v>240</v>
      </c>
      <c r="E10" s="25">
        <v>1</v>
      </c>
      <c r="F10" s="24" t="s">
        <v>241</v>
      </c>
      <c r="G10" s="25">
        <v>2</v>
      </c>
      <c r="H10" s="34">
        <f>E10*Settings!$B$5+G10*Settings!$B$6</f>
        <v>6</v>
      </c>
      <c r="I10" s="26"/>
      <c r="J10" s="25" t="str">
        <f t="shared" si="0"/>
        <v/>
      </c>
    </row>
    <row r="11" spans="1:10" x14ac:dyDescent="0.25">
      <c r="A11" s="24" t="s">
        <v>242</v>
      </c>
      <c r="B11" s="24" t="s">
        <v>243</v>
      </c>
      <c r="C11" s="24" t="s">
        <v>232</v>
      </c>
      <c r="D11" s="24"/>
      <c r="E11" s="25">
        <v>0</v>
      </c>
      <c r="F11" s="24" t="s">
        <v>244</v>
      </c>
      <c r="G11" s="25">
        <v>5</v>
      </c>
      <c r="H11" s="34">
        <f>E11*Settings!$B$5+G11*Settings!$B$6</f>
        <v>10</v>
      </c>
      <c r="I11" s="26"/>
      <c r="J11" s="25" t="str">
        <f t="shared" si="0"/>
        <v/>
      </c>
    </row>
    <row r="12" spans="1:10" x14ac:dyDescent="0.25">
      <c r="A12" s="24" t="s">
        <v>245</v>
      </c>
      <c r="B12" s="24" t="s">
        <v>246</v>
      </c>
      <c r="C12" s="24" t="s">
        <v>232</v>
      </c>
      <c r="D12" s="24"/>
      <c r="E12" s="25">
        <v>0</v>
      </c>
      <c r="F12" s="24" t="s">
        <v>247</v>
      </c>
      <c r="G12" s="25">
        <v>1</v>
      </c>
      <c r="H12" s="34">
        <f>E12*Settings!$B$5+G12*Settings!$B$6</f>
        <v>2</v>
      </c>
      <c r="I12" s="26"/>
      <c r="J12" s="25" t="str">
        <f t="shared" si="0"/>
        <v/>
      </c>
    </row>
    <row r="13" spans="1:10" x14ac:dyDescent="0.25">
      <c r="A13" s="24" t="s">
        <v>248</v>
      </c>
      <c r="B13" s="24" t="s">
        <v>249</v>
      </c>
      <c r="C13" s="24" t="s">
        <v>232</v>
      </c>
      <c r="D13" s="24"/>
      <c r="E13" s="25">
        <v>0</v>
      </c>
      <c r="F13" s="24" t="s">
        <v>250</v>
      </c>
      <c r="G13" s="25">
        <v>1</v>
      </c>
      <c r="H13" s="34">
        <f>E13*Settings!$B$5+G13*Settings!$B$6</f>
        <v>2</v>
      </c>
      <c r="I13" s="26"/>
      <c r="J13" s="25" t="str">
        <f t="shared" si="0"/>
        <v/>
      </c>
    </row>
    <row r="14" spans="1:10" x14ac:dyDescent="0.25">
      <c r="A14" s="24" t="s">
        <v>251</v>
      </c>
      <c r="B14" s="24" t="s">
        <v>252</v>
      </c>
      <c r="C14" s="24" t="s">
        <v>253</v>
      </c>
      <c r="D14" s="24" t="s">
        <v>254</v>
      </c>
      <c r="E14" s="25">
        <v>1</v>
      </c>
      <c r="F14" s="24"/>
      <c r="G14" s="25">
        <v>0</v>
      </c>
      <c r="H14" s="34">
        <f>E14*Settings!$B$5+G14*Settings!$B$6</f>
        <v>2</v>
      </c>
      <c r="I14" s="26"/>
      <c r="J14" s="25" t="str">
        <f t="shared" si="0"/>
        <v/>
      </c>
    </row>
    <row r="16" spans="1:10" x14ac:dyDescent="0.25">
      <c r="A16" s="6" t="s">
        <v>255</v>
      </c>
    </row>
  </sheetData>
  <conditionalFormatting sqref="J4:J14">
    <cfRule type="expression" dxfId="1" priority="1">
      <formula>AND(ISNUMBER(J4),J4&gt;0)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0" customWidth="1"/>
    <col min="2" max="2" width="13" customWidth="1"/>
    <col min="3" max="3" width="20" customWidth="1"/>
    <col min="4" max="4" width="34" customWidth="1"/>
    <col min="5" max="5" width="9" customWidth="1"/>
    <col min="6" max="6" width="18" customWidth="1"/>
    <col min="7" max="7" width="9" customWidth="1"/>
    <col min="8" max="8" width="10" customWidth="1"/>
    <col min="9" max="9" width="9" customWidth="1"/>
    <col min="10" max="10" width="8" customWidth="1"/>
  </cols>
  <sheetData>
    <row r="1" spans="1:10" ht="16.5" x14ac:dyDescent="0.25">
      <c r="A1" s="16" t="s">
        <v>256</v>
      </c>
    </row>
    <row r="3" spans="1:10" ht="30" customHeight="1" x14ac:dyDescent="0.25">
      <c r="A3" s="3" t="s">
        <v>257</v>
      </c>
      <c r="B3" s="3" t="s">
        <v>3</v>
      </c>
      <c r="C3" s="3" t="s">
        <v>211</v>
      </c>
      <c r="D3" s="3" t="s">
        <v>61</v>
      </c>
      <c r="E3" s="3" t="s">
        <v>62</v>
      </c>
      <c r="F3" s="3" t="s">
        <v>63</v>
      </c>
      <c r="G3" s="3" t="s">
        <v>64</v>
      </c>
      <c r="H3" s="3" t="s">
        <v>212</v>
      </c>
      <c r="I3" s="3" t="s">
        <v>213</v>
      </c>
      <c r="J3" s="3" t="s">
        <v>214</v>
      </c>
    </row>
    <row r="4" spans="1:10" x14ac:dyDescent="0.25">
      <c r="A4" s="24" t="s">
        <v>258</v>
      </c>
      <c r="B4" s="24" t="s">
        <v>259</v>
      </c>
      <c r="C4" s="24" t="s">
        <v>260</v>
      </c>
      <c r="D4" s="24" t="s">
        <v>261</v>
      </c>
      <c r="E4" s="25">
        <v>5</v>
      </c>
      <c r="F4" s="24"/>
      <c r="G4" s="25">
        <v>0</v>
      </c>
      <c r="H4" s="34">
        <f>E4*Settings!$B$5+G4*Settings!$B$6</f>
        <v>10</v>
      </c>
      <c r="I4" s="26"/>
      <c r="J4" s="25" t="str">
        <f t="shared" ref="J4:J12" si="0">IF(I4="","",MAX(0,H4-I4))</f>
        <v/>
      </c>
    </row>
    <row r="5" spans="1:10" x14ac:dyDescent="0.25">
      <c r="A5" s="24" t="s">
        <v>262</v>
      </c>
      <c r="B5" s="24" t="s">
        <v>263</v>
      </c>
      <c r="C5" s="24" t="s">
        <v>264</v>
      </c>
      <c r="D5" s="24" t="s">
        <v>265</v>
      </c>
      <c r="E5" s="25">
        <v>1</v>
      </c>
      <c r="F5" s="24"/>
      <c r="G5" s="25">
        <v>0</v>
      </c>
      <c r="H5" s="34">
        <f>E5*Settings!$B$5+G5*Settings!$B$6</f>
        <v>2</v>
      </c>
      <c r="I5" s="26"/>
      <c r="J5" s="25" t="str">
        <f t="shared" si="0"/>
        <v/>
      </c>
    </row>
    <row r="6" spans="1:10" x14ac:dyDescent="0.25">
      <c r="A6" s="24" t="s">
        <v>107</v>
      </c>
      <c r="B6" s="24" t="s">
        <v>266</v>
      </c>
      <c r="C6" s="24" t="s">
        <v>253</v>
      </c>
      <c r="D6" s="24" t="s">
        <v>109</v>
      </c>
      <c r="E6" s="25">
        <v>6</v>
      </c>
      <c r="F6" s="24" t="s">
        <v>110</v>
      </c>
      <c r="G6" s="25">
        <v>2</v>
      </c>
      <c r="H6" s="34">
        <f>E6*Settings!$B$5+G6*Settings!$B$6</f>
        <v>16</v>
      </c>
      <c r="I6" s="26"/>
      <c r="J6" s="25" t="str">
        <f t="shared" si="0"/>
        <v/>
      </c>
    </row>
    <row r="7" spans="1:10" x14ac:dyDescent="0.25">
      <c r="A7" s="24" t="s">
        <v>94</v>
      </c>
      <c r="B7" s="24" t="s">
        <v>267</v>
      </c>
      <c r="C7" s="24" t="s">
        <v>268</v>
      </c>
      <c r="D7" s="24" t="s">
        <v>96</v>
      </c>
      <c r="E7" s="25">
        <v>1</v>
      </c>
      <c r="F7" s="24"/>
      <c r="G7" s="25">
        <v>0</v>
      </c>
      <c r="H7" s="34">
        <f>E7*Settings!$B$5+G7*Settings!$B$6</f>
        <v>2</v>
      </c>
      <c r="I7" s="26"/>
      <c r="J7" s="25" t="str">
        <f t="shared" si="0"/>
        <v/>
      </c>
    </row>
    <row r="8" spans="1:10" x14ac:dyDescent="0.25">
      <c r="A8" s="24" t="s">
        <v>269</v>
      </c>
      <c r="B8" s="24" t="s">
        <v>270</v>
      </c>
      <c r="C8" s="24" t="s">
        <v>271</v>
      </c>
      <c r="D8" s="24" t="s">
        <v>116</v>
      </c>
      <c r="E8" s="25">
        <v>1</v>
      </c>
      <c r="F8" s="24" t="s">
        <v>116</v>
      </c>
      <c r="G8" s="25">
        <v>1</v>
      </c>
      <c r="H8" s="34">
        <f>E8*Settings!$B$5+G8*Settings!$B$6</f>
        <v>4</v>
      </c>
      <c r="I8" s="26"/>
      <c r="J8" s="25" t="str">
        <f t="shared" si="0"/>
        <v/>
      </c>
    </row>
    <row r="9" spans="1:10" x14ac:dyDescent="0.25">
      <c r="A9" s="24" t="s">
        <v>272</v>
      </c>
      <c r="B9" s="24" t="s">
        <v>273</v>
      </c>
      <c r="C9" s="24" t="s">
        <v>271</v>
      </c>
      <c r="D9" s="24"/>
      <c r="E9" s="25">
        <v>0</v>
      </c>
      <c r="F9" s="24" t="s">
        <v>121</v>
      </c>
      <c r="G9" s="25">
        <v>1</v>
      </c>
      <c r="H9" s="34">
        <f>E9*Settings!$B$5+G9*Settings!$B$6</f>
        <v>2</v>
      </c>
      <c r="I9" s="26"/>
      <c r="J9" s="25" t="str">
        <f t="shared" si="0"/>
        <v/>
      </c>
    </row>
    <row r="10" spans="1:10" x14ac:dyDescent="0.25">
      <c r="A10" s="24" t="s">
        <v>143</v>
      </c>
      <c r="B10" s="24" t="s">
        <v>274</v>
      </c>
      <c r="C10" s="24" t="s">
        <v>275</v>
      </c>
      <c r="D10" s="24"/>
      <c r="E10" s="25">
        <v>0</v>
      </c>
      <c r="F10" s="24" t="s">
        <v>145</v>
      </c>
      <c r="G10" s="25">
        <v>1</v>
      </c>
      <c r="H10" s="34">
        <f>E10*Settings!$B$5+G10*Settings!$B$6</f>
        <v>2</v>
      </c>
      <c r="I10" s="26"/>
      <c r="J10" s="25" t="str">
        <f t="shared" si="0"/>
        <v/>
      </c>
    </row>
    <row r="11" spans="1:10" x14ac:dyDescent="0.25">
      <c r="A11" s="24" t="s">
        <v>276</v>
      </c>
      <c r="B11" s="24" t="s">
        <v>277</v>
      </c>
      <c r="C11" s="24" t="s">
        <v>278</v>
      </c>
      <c r="D11" s="24" t="s">
        <v>279</v>
      </c>
      <c r="E11" s="25">
        <v>3</v>
      </c>
      <c r="F11" s="24" t="s">
        <v>134</v>
      </c>
      <c r="G11" s="25">
        <v>1</v>
      </c>
      <c r="H11" s="34">
        <f>E11*Settings!$B$5+G11*Settings!$B$6</f>
        <v>8</v>
      </c>
      <c r="I11" s="26">
        <v>7</v>
      </c>
      <c r="J11" s="25">
        <f t="shared" si="0"/>
        <v>1</v>
      </c>
    </row>
    <row r="12" spans="1:10" x14ac:dyDescent="0.25">
      <c r="A12" s="24" t="s">
        <v>280</v>
      </c>
      <c r="B12" s="24" t="s">
        <v>281</v>
      </c>
      <c r="C12" s="24" t="s">
        <v>282</v>
      </c>
      <c r="D12" s="24" t="s">
        <v>178</v>
      </c>
      <c r="E12" s="25">
        <v>6</v>
      </c>
      <c r="F12" s="24" t="s">
        <v>179</v>
      </c>
      <c r="G12" s="25">
        <v>1</v>
      </c>
      <c r="H12" s="34">
        <f>E12*Settings!$B$5+G12*Settings!$B$6</f>
        <v>14</v>
      </c>
      <c r="I12" s="26">
        <v>17</v>
      </c>
      <c r="J12" s="25">
        <f t="shared" si="0"/>
        <v>0</v>
      </c>
    </row>
    <row r="14" spans="1:10" x14ac:dyDescent="0.25">
      <c r="A14" s="6" t="s">
        <v>255</v>
      </c>
    </row>
    <row r="15" spans="1:10" x14ac:dyDescent="0.25">
      <c r="A15" s="6" t="s">
        <v>283</v>
      </c>
    </row>
  </sheetData>
  <conditionalFormatting sqref="J4:J12">
    <cfRule type="expression" dxfId="0" priority="1">
      <formula>AND(ISNUMBER(J4),J4&gt;0)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Scenarios</vt:lpstr>
      <vt:lpstr>DigiKey Order</vt:lpstr>
      <vt:lpstr>AX Parts</vt:lpstr>
      <vt:lpstr>Owned 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Stanislaw Basiuk</cp:lastModifiedBy>
  <dcterms:created xsi:type="dcterms:W3CDTF">2026-10-09T13:57:14Z</dcterms:created>
  <dcterms:modified xsi:type="dcterms:W3CDTF">2026-10-09T13:57:18Z</dcterms:modified>
</cp:coreProperties>
</file>